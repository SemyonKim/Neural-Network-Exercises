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queryTables/queryTable1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task1" sheetId="2" r:id="rId1"/>
    <sheet name="task2" sheetId="1" r:id="rId2"/>
  </sheets>
  <definedNames>
    <definedName name="task2" localSheetId="1">task2!$A$1:$C$51</definedName>
  </definedNames>
  <calcPr calcId="152511"/>
</workbook>
</file>

<file path=xl/calcChain.xml><?xml version="1.0" encoding="utf-8"?>
<calcChain xmlns="http://schemas.openxmlformats.org/spreadsheetml/2006/main">
  <c r="A62" i="2" l="1"/>
  <c r="A2" i="2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C2" i="2"/>
  <c r="E1" i="2"/>
  <c r="A63" i="2" l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B2" i="2"/>
  <c r="M89" i="2"/>
  <c r="M90" i="2" s="1"/>
  <c r="M91" i="2" s="1"/>
  <c r="M68" i="2"/>
  <c r="M69" i="2"/>
  <c r="M70" i="2" s="1"/>
  <c r="M71" i="2" s="1"/>
  <c r="M72" i="2" s="1"/>
  <c r="M73" i="2" s="1"/>
  <c r="M74" i="2" s="1"/>
  <c r="M75" i="2" s="1"/>
  <c r="M76" i="2" s="1"/>
  <c r="M77" i="2" s="1"/>
  <c r="M78" i="2" s="1"/>
  <c r="M79" i="2" s="1"/>
  <c r="M80" i="2" s="1"/>
  <c r="M81" i="2" s="1"/>
  <c r="M82" i="2" s="1"/>
  <c r="M83" i="2" s="1"/>
  <c r="M84" i="2" s="1"/>
  <c r="M85" i="2" s="1"/>
  <c r="M86" i="2" s="1"/>
  <c r="M87" i="2" s="1"/>
  <c r="M88" i="2" s="1"/>
  <c r="M3" i="2"/>
  <c r="M4" i="2" s="1"/>
  <c r="M5" i="2" s="1"/>
  <c r="M6" i="2" s="1"/>
  <c r="M7" i="2" s="1"/>
  <c r="M8" i="2" s="1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M38" i="2" s="1"/>
  <c r="M39" i="2" s="1"/>
  <c r="M40" i="2" s="1"/>
  <c r="M41" i="2" s="1"/>
  <c r="M42" i="2" s="1"/>
  <c r="M43" i="2" s="1"/>
  <c r="M44" i="2" s="1"/>
  <c r="M45" i="2" s="1"/>
  <c r="M46" i="2" s="1"/>
  <c r="M47" i="2" s="1"/>
  <c r="M48" i="2" s="1"/>
  <c r="M49" i="2" s="1"/>
  <c r="M50" i="2" s="1"/>
  <c r="M51" i="2" s="1"/>
  <c r="M52" i="2" s="1"/>
  <c r="M53" i="2" s="1"/>
  <c r="M54" i="2" s="1"/>
  <c r="M55" i="2" s="1"/>
  <c r="M56" i="2" s="1"/>
  <c r="M57" i="2" s="1"/>
  <c r="M58" i="2" s="1"/>
  <c r="M59" i="2" s="1"/>
  <c r="M60" i="2" s="1"/>
  <c r="M61" i="2" s="1"/>
  <c r="M62" i="2" s="1"/>
  <c r="M63" i="2" s="1"/>
  <c r="M64" i="2" s="1"/>
  <c r="M65" i="2" s="1"/>
  <c r="M66" i="2" s="1"/>
  <c r="M67" i="2" s="1"/>
  <c r="M2" i="2"/>
  <c r="M1" i="2"/>
  <c r="J3" i="2"/>
  <c r="J5" i="2"/>
  <c r="J7" i="2"/>
  <c r="J9" i="2"/>
  <c r="J11" i="2"/>
  <c r="J13" i="2"/>
  <c r="J15" i="2"/>
  <c r="J17" i="2"/>
  <c r="J19" i="2"/>
  <c r="J21" i="2"/>
  <c r="J41" i="2"/>
  <c r="J40" i="2"/>
  <c r="I40" i="2"/>
  <c r="I21" i="2"/>
  <c r="I18" i="2"/>
  <c r="I19" i="2"/>
  <c r="I20" i="2" s="1"/>
  <c r="I3" i="2"/>
  <c r="I4" i="2" s="1"/>
  <c r="I5" i="2" s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2" i="2"/>
  <c r="I1" i="2"/>
  <c r="G1" i="2"/>
  <c r="N2" i="2" s="1"/>
  <c r="S9" i="1"/>
  <c r="T9" i="1"/>
  <c r="U9" i="1"/>
  <c r="R9" i="1"/>
  <c r="J1" i="2" l="1"/>
  <c r="J20" i="2"/>
  <c r="J18" i="2"/>
  <c r="J16" i="2"/>
  <c r="J14" i="2"/>
  <c r="J12" i="2"/>
  <c r="J10" i="2"/>
  <c r="J8" i="2"/>
  <c r="J6" i="2"/>
  <c r="J4" i="2"/>
  <c r="J2" i="2"/>
  <c r="N91" i="2"/>
  <c r="N89" i="2"/>
  <c r="N87" i="2"/>
  <c r="N85" i="2"/>
  <c r="N83" i="2"/>
  <c r="N81" i="2"/>
  <c r="N79" i="2"/>
  <c r="N77" i="2"/>
  <c r="N75" i="2"/>
  <c r="N73" i="2"/>
  <c r="N71" i="2"/>
  <c r="N69" i="2"/>
  <c r="N67" i="2"/>
  <c r="N65" i="2"/>
  <c r="N63" i="2"/>
  <c r="N61" i="2"/>
  <c r="N59" i="2"/>
  <c r="N57" i="2"/>
  <c r="N55" i="2"/>
  <c r="N53" i="2"/>
  <c r="N51" i="2"/>
  <c r="N49" i="2"/>
  <c r="N47" i="2"/>
  <c r="N45" i="2"/>
  <c r="N43" i="2"/>
  <c r="N41" i="2"/>
  <c r="N39" i="2"/>
  <c r="N37" i="2"/>
  <c r="N35" i="2"/>
  <c r="N33" i="2"/>
  <c r="N31" i="2"/>
  <c r="N29" i="2"/>
  <c r="N27" i="2"/>
  <c r="N25" i="2"/>
  <c r="N23" i="2"/>
  <c r="N21" i="2"/>
  <c r="N19" i="2"/>
  <c r="N17" i="2"/>
  <c r="N15" i="2"/>
  <c r="N13" i="2"/>
  <c r="N11" i="2"/>
  <c r="N9" i="2"/>
  <c r="N7" i="2"/>
  <c r="N5" i="2"/>
  <c r="N3" i="2"/>
  <c r="N1" i="2"/>
  <c r="N90" i="2"/>
  <c r="N88" i="2"/>
  <c r="N86" i="2"/>
  <c r="N84" i="2"/>
  <c r="N82" i="2"/>
  <c r="N80" i="2"/>
  <c r="N78" i="2"/>
  <c r="N76" i="2"/>
  <c r="N74" i="2"/>
  <c r="N72" i="2"/>
  <c r="N70" i="2"/>
  <c r="N68" i="2"/>
  <c r="N66" i="2"/>
  <c r="N64" i="2"/>
  <c r="N62" i="2"/>
  <c r="N60" i="2"/>
  <c r="N58" i="2"/>
  <c r="N56" i="2"/>
  <c r="N54" i="2"/>
  <c r="N52" i="2"/>
  <c r="N50" i="2"/>
  <c r="N48" i="2"/>
  <c r="N46" i="2"/>
  <c r="N44" i="2"/>
  <c r="N42" i="2"/>
  <c r="N40" i="2"/>
  <c r="N38" i="2"/>
  <c r="N36" i="2"/>
  <c r="N34" i="2"/>
  <c r="N32" i="2"/>
  <c r="N30" i="2"/>
  <c r="N28" i="2"/>
  <c r="N26" i="2"/>
  <c r="N24" i="2"/>
  <c r="N22" i="2"/>
  <c r="N20" i="2"/>
  <c r="N18" i="2"/>
  <c r="N16" i="2"/>
  <c r="N14" i="2"/>
  <c r="N12" i="2"/>
  <c r="N10" i="2"/>
  <c r="N8" i="2"/>
  <c r="N6" i="2"/>
  <c r="N4" i="2"/>
  <c r="AD17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3" i="1"/>
  <c r="AC2" i="1"/>
  <c r="AG3" i="1"/>
  <c r="AH3" i="1"/>
  <c r="AI3" i="1"/>
  <c r="AJ3" i="1"/>
  <c r="AG4" i="1"/>
  <c r="AH4" i="1"/>
  <c r="AI4" i="1"/>
  <c r="AJ4" i="1"/>
  <c r="AG5" i="1"/>
  <c r="AH5" i="1"/>
  <c r="AI5" i="1"/>
  <c r="AJ5" i="1"/>
  <c r="AG6" i="1"/>
  <c r="AH6" i="1"/>
  <c r="AI6" i="1"/>
  <c r="AJ6" i="1"/>
  <c r="AG7" i="1"/>
  <c r="AH7" i="1"/>
  <c r="AI7" i="1"/>
  <c r="AJ7" i="1"/>
  <c r="AG8" i="1"/>
  <c r="AH8" i="1"/>
  <c r="AI8" i="1"/>
  <c r="AJ8" i="1"/>
  <c r="AG9" i="1"/>
  <c r="AH9" i="1"/>
  <c r="AI9" i="1"/>
  <c r="AJ9" i="1"/>
  <c r="AG10" i="1"/>
  <c r="AH10" i="1"/>
  <c r="AI10" i="1"/>
  <c r="AJ10" i="1"/>
  <c r="AG11" i="1"/>
  <c r="AH11" i="1"/>
  <c r="AI11" i="1"/>
  <c r="AJ11" i="1"/>
  <c r="AG12" i="1"/>
  <c r="AH12" i="1"/>
  <c r="AI12" i="1"/>
  <c r="AJ12" i="1"/>
  <c r="AG13" i="1"/>
  <c r="AH13" i="1"/>
  <c r="AI13" i="1"/>
  <c r="AJ13" i="1"/>
  <c r="AG14" i="1"/>
  <c r="AH14" i="1"/>
  <c r="AI14" i="1"/>
  <c r="AJ14" i="1"/>
  <c r="AG15" i="1"/>
  <c r="AH15" i="1"/>
  <c r="AI15" i="1"/>
  <c r="AJ15" i="1"/>
  <c r="AG16" i="1"/>
  <c r="AH16" i="1"/>
  <c r="AI16" i="1"/>
  <c r="AJ16" i="1"/>
  <c r="AG17" i="1"/>
  <c r="AH17" i="1"/>
  <c r="AI17" i="1"/>
  <c r="AJ17" i="1"/>
  <c r="AG18" i="1"/>
  <c r="AH18" i="1"/>
  <c r="AI18" i="1"/>
  <c r="AJ18" i="1"/>
  <c r="AG19" i="1"/>
  <c r="AH19" i="1"/>
  <c r="AI19" i="1"/>
  <c r="AJ19" i="1"/>
  <c r="AG20" i="1"/>
  <c r="AH20" i="1"/>
  <c r="AI20" i="1"/>
  <c r="AJ20" i="1"/>
  <c r="AG21" i="1"/>
  <c r="AH21" i="1"/>
  <c r="AI21" i="1"/>
  <c r="AJ21" i="1"/>
  <c r="AG22" i="1"/>
  <c r="AH22" i="1"/>
  <c r="AI22" i="1"/>
  <c r="AJ22" i="1"/>
  <c r="AG23" i="1"/>
  <c r="AH23" i="1"/>
  <c r="AI23" i="1"/>
  <c r="AJ23" i="1"/>
  <c r="AG24" i="1"/>
  <c r="AH24" i="1"/>
  <c r="AI24" i="1"/>
  <c r="AJ24" i="1"/>
  <c r="AG25" i="1"/>
  <c r="AH25" i="1"/>
  <c r="AI25" i="1"/>
  <c r="AJ25" i="1"/>
  <c r="AG26" i="1"/>
  <c r="AH26" i="1"/>
  <c r="AI26" i="1"/>
  <c r="AJ26" i="1"/>
  <c r="AG27" i="1"/>
  <c r="AH27" i="1"/>
  <c r="AI27" i="1"/>
  <c r="AJ27" i="1"/>
  <c r="AG28" i="1"/>
  <c r="AH28" i="1"/>
  <c r="AI28" i="1"/>
  <c r="AJ28" i="1"/>
  <c r="AG29" i="1"/>
  <c r="AH29" i="1"/>
  <c r="AI29" i="1"/>
  <c r="AJ29" i="1"/>
  <c r="AG30" i="1"/>
  <c r="AH30" i="1"/>
  <c r="AI30" i="1"/>
  <c r="AJ30" i="1"/>
  <c r="AG31" i="1"/>
  <c r="AH31" i="1"/>
  <c r="AI31" i="1"/>
  <c r="AJ31" i="1"/>
  <c r="AG32" i="1"/>
  <c r="AH32" i="1"/>
  <c r="AI32" i="1"/>
  <c r="AJ32" i="1"/>
  <c r="AG33" i="1"/>
  <c r="AH33" i="1"/>
  <c r="AI33" i="1"/>
  <c r="AJ33" i="1"/>
  <c r="AG34" i="1"/>
  <c r="AH34" i="1"/>
  <c r="AI34" i="1"/>
  <c r="AJ34" i="1"/>
  <c r="AG35" i="1"/>
  <c r="AH35" i="1"/>
  <c r="AI35" i="1"/>
  <c r="AJ35" i="1"/>
  <c r="AG36" i="1"/>
  <c r="AH36" i="1"/>
  <c r="AI36" i="1"/>
  <c r="AJ36" i="1"/>
  <c r="AG37" i="1"/>
  <c r="AH37" i="1"/>
  <c r="AI37" i="1"/>
  <c r="AJ37" i="1"/>
  <c r="AG38" i="1"/>
  <c r="AH38" i="1"/>
  <c r="AI38" i="1"/>
  <c r="AJ38" i="1"/>
  <c r="AG39" i="1"/>
  <c r="AH39" i="1"/>
  <c r="AI39" i="1"/>
  <c r="AJ39" i="1"/>
  <c r="AG40" i="1"/>
  <c r="AH40" i="1"/>
  <c r="AI40" i="1"/>
  <c r="AJ40" i="1"/>
  <c r="AG41" i="1"/>
  <c r="AH41" i="1"/>
  <c r="AI41" i="1"/>
  <c r="AJ41" i="1"/>
  <c r="AG42" i="1"/>
  <c r="AH42" i="1"/>
  <c r="AI42" i="1"/>
  <c r="AJ42" i="1"/>
  <c r="AG43" i="1"/>
  <c r="AH43" i="1"/>
  <c r="AI43" i="1"/>
  <c r="AJ43" i="1"/>
  <c r="AG44" i="1"/>
  <c r="AH44" i="1"/>
  <c r="AI44" i="1"/>
  <c r="AJ44" i="1"/>
  <c r="AG45" i="1"/>
  <c r="AH45" i="1"/>
  <c r="AI45" i="1"/>
  <c r="AJ45" i="1"/>
  <c r="AG46" i="1"/>
  <c r="AH46" i="1"/>
  <c r="AI46" i="1"/>
  <c r="AJ46" i="1"/>
  <c r="AG47" i="1"/>
  <c r="AH47" i="1"/>
  <c r="AI47" i="1"/>
  <c r="AJ47" i="1"/>
  <c r="AG48" i="1"/>
  <c r="AH48" i="1"/>
  <c r="AI48" i="1"/>
  <c r="AJ48" i="1"/>
  <c r="AG49" i="1"/>
  <c r="AH49" i="1"/>
  <c r="AI49" i="1"/>
  <c r="AJ49" i="1"/>
  <c r="AG50" i="1"/>
  <c r="AH50" i="1"/>
  <c r="AI50" i="1"/>
  <c r="AJ50" i="1"/>
  <c r="AG51" i="1"/>
  <c r="AH51" i="1"/>
  <c r="AI51" i="1"/>
  <c r="AJ51" i="1"/>
  <c r="AJ2" i="1"/>
  <c r="AI2" i="1"/>
  <c r="AH2" i="1"/>
  <c r="AG2" i="1"/>
  <c r="AE3" i="1" l="1"/>
  <c r="AF3" i="1" s="1"/>
  <c r="AD3" i="1"/>
  <c r="AD4" i="1"/>
  <c r="AE4" i="1" s="1"/>
  <c r="AF4" i="1" s="1"/>
  <c r="AD5" i="1"/>
  <c r="AE5" i="1" s="1"/>
  <c r="AF5" i="1" s="1"/>
  <c r="AD6" i="1"/>
  <c r="AE6" i="1" s="1"/>
  <c r="AF6" i="1" s="1"/>
  <c r="AD7" i="1"/>
  <c r="AE7" i="1" s="1"/>
  <c r="AF7" i="1" s="1"/>
  <c r="AD8" i="1"/>
  <c r="AE8" i="1" s="1"/>
  <c r="AF8" i="1" s="1"/>
  <c r="AD9" i="1"/>
  <c r="AE9" i="1" s="1"/>
  <c r="AF9" i="1" s="1"/>
  <c r="AD10" i="1"/>
  <c r="AE10" i="1" s="1"/>
  <c r="AF10" i="1" s="1"/>
  <c r="AD11" i="1"/>
  <c r="AE11" i="1" s="1"/>
  <c r="AF11" i="1" s="1"/>
  <c r="AD12" i="1"/>
  <c r="AE12" i="1" s="1"/>
  <c r="AF12" i="1" s="1"/>
  <c r="AD13" i="1"/>
  <c r="AE13" i="1" s="1"/>
  <c r="AF13" i="1" s="1"/>
  <c r="AD14" i="1"/>
  <c r="AE14" i="1" s="1"/>
  <c r="AF14" i="1" s="1"/>
  <c r="AD15" i="1"/>
  <c r="AE15" i="1" s="1"/>
  <c r="AF15" i="1" s="1"/>
  <c r="AD16" i="1"/>
  <c r="AE16" i="1" s="1"/>
  <c r="AF16" i="1" s="1"/>
  <c r="AE17" i="1"/>
  <c r="AF17" i="1" s="1"/>
  <c r="AD18" i="1"/>
  <c r="AE18" i="1" s="1"/>
  <c r="AF18" i="1" s="1"/>
  <c r="AD19" i="1"/>
  <c r="AE19" i="1" s="1"/>
  <c r="AF19" i="1" s="1"/>
  <c r="AD20" i="1"/>
  <c r="AE20" i="1" s="1"/>
  <c r="AF20" i="1" s="1"/>
  <c r="AD21" i="1"/>
  <c r="AE21" i="1" s="1"/>
  <c r="AF21" i="1" s="1"/>
  <c r="AD22" i="1"/>
  <c r="AE22" i="1" s="1"/>
  <c r="AF22" i="1" s="1"/>
  <c r="AD23" i="1"/>
  <c r="AE23" i="1" s="1"/>
  <c r="AF23" i="1" s="1"/>
  <c r="AD24" i="1"/>
  <c r="AE24" i="1" s="1"/>
  <c r="AF24" i="1" s="1"/>
  <c r="AD25" i="1"/>
  <c r="AE25" i="1" s="1"/>
  <c r="AF25" i="1" s="1"/>
  <c r="AD26" i="1"/>
  <c r="AE26" i="1" s="1"/>
  <c r="AF26" i="1" s="1"/>
  <c r="AD27" i="1"/>
  <c r="AE27" i="1" s="1"/>
  <c r="AF27" i="1" s="1"/>
  <c r="AD28" i="1"/>
  <c r="AE28" i="1" s="1"/>
  <c r="AF28" i="1" s="1"/>
  <c r="AD29" i="1"/>
  <c r="AE29" i="1" s="1"/>
  <c r="AF29" i="1" s="1"/>
  <c r="AD30" i="1"/>
  <c r="AE30" i="1" s="1"/>
  <c r="AF30" i="1" s="1"/>
  <c r="AD31" i="1"/>
  <c r="AE31" i="1" s="1"/>
  <c r="AF31" i="1" s="1"/>
  <c r="AD32" i="1"/>
  <c r="AE32" i="1" s="1"/>
  <c r="AF32" i="1" s="1"/>
  <c r="AD33" i="1"/>
  <c r="AE33" i="1" s="1"/>
  <c r="AF33" i="1" s="1"/>
  <c r="AD34" i="1"/>
  <c r="AE34" i="1" s="1"/>
  <c r="AF34" i="1" s="1"/>
  <c r="AD35" i="1"/>
  <c r="AE35" i="1" s="1"/>
  <c r="AF35" i="1" s="1"/>
  <c r="AD36" i="1"/>
  <c r="AE36" i="1" s="1"/>
  <c r="AF36" i="1" s="1"/>
  <c r="AD37" i="1"/>
  <c r="AE37" i="1" s="1"/>
  <c r="AF37" i="1" s="1"/>
  <c r="AD38" i="1"/>
  <c r="AE38" i="1" s="1"/>
  <c r="AF38" i="1" s="1"/>
  <c r="AD39" i="1"/>
  <c r="AE39" i="1" s="1"/>
  <c r="AF39" i="1" s="1"/>
  <c r="AD40" i="1"/>
  <c r="AE40" i="1" s="1"/>
  <c r="AF40" i="1" s="1"/>
  <c r="AD41" i="1"/>
  <c r="AE41" i="1" s="1"/>
  <c r="AF41" i="1" s="1"/>
  <c r="AD42" i="1"/>
  <c r="AE42" i="1" s="1"/>
  <c r="AF42" i="1" s="1"/>
  <c r="AD43" i="1"/>
  <c r="AE43" i="1" s="1"/>
  <c r="AF43" i="1" s="1"/>
  <c r="AD44" i="1"/>
  <c r="AE44" i="1" s="1"/>
  <c r="AF44" i="1" s="1"/>
  <c r="AD45" i="1"/>
  <c r="AE45" i="1" s="1"/>
  <c r="AF45" i="1" s="1"/>
  <c r="AD46" i="1"/>
  <c r="AE46" i="1" s="1"/>
  <c r="AF46" i="1" s="1"/>
  <c r="AD47" i="1"/>
  <c r="AE47" i="1" s="1"/>
  <c r="AF47" i="1" s="1"/>
  <c r="AD48" i="1"/>
  <c r="AE48" i="1" s="1"/>
  <c r="AF48" i="1" s="1"/>
  <c r="AD49" i="1"/>
  <c r="AE49" i="1" s="1"/>
  <c r="AF49" i="1" s="1"/>
  <c r="AD50" i="1"/>
  <c r="AE50" i="1" s="1"/>
  <c r="AF50" i="1" s="1"/>
  <c r="AD51" i="1"/>
  <c r="AE51" i="1" s="1"/>
  <c r="AF51" i="1" s="1"/>
  <c r="AD2" i="1"/>
  <c r="AE2" i="1" s="1"/>
  <c r="AF2" i="1" s="1"/>
  <c r="AF53" i="1" l="1"/>
  <c r="AF5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" i="1"/>
  <c r="S39" i="1"/>
  <c r="U39" i="1"/>
  <c r="S40" i="1"/>
  <c r="U40" i="1"/>
  <c r="S41" i="1"/>
  <c r="U41" i="1"/>
  <c r="S42" i="1"/>
  <c r="U42" i="1"/>
  <c r="S43" i="1"/>
  <c r="U43" i="1"/>
  <c r="S44" i="1"/>
  <c r="U44" i="1"/>
  <c r="S45" i="1"/>
  <c r="U45" i="1"/>
  <c r="S46" i="1"/>
  <c r="U46" i="1"/>
  <c r="S47" i="1"/>
  <c r="U47" i="1"/>
  <c r="S48" i="1"/>
  <c r="U48" i="1"/>
  <c r="S49" i="1"/>
  <c r="U49" i="1"/>
  <c r="S50" i="1"/>
  <c r="U50" i="1"/>
  <c r="S51" i="1"/>
  <c r="U51" i="1"/>
  <c r="S52" i="1"/>
  <c r="U52" i="1"/>
  <c r="S53" i="1"/>
  <c r="U53" i="1"/>
  <c r="S54" i="1"/>
  <c r="U54" i="1"/>
  <c r="S55" i="1"/>
  <c r="U55" i="1"/>
  <c r="S56" i="1"/>
  <c r="U56" i="1"/>
  <c r="S57" i="1"/>
  <c r="U57" i="1"/>
  <c r="S58" i="1"/>
  <c r="U58" i="1"/>
  <c r="S59" i="1"/>
  <c r="U59" i="1"/>
  <c r="S60" i="1"/>
  <c r="U60" i="1"/>
  <c r="S61" i="1"/>
  <c r="U61" i="1"/>
  <c r="S62" i="1"/>
  <c r="U62" i="1"/>
  <c r="U38" i="1"/>
  <c r="S38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11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P11" i="1"/>
  <c r="U8" i="1"/>
  <c r="T8" i="1"/>
  <c r="S8" i="1"/>
  <c r="R8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27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" i="1"/>
  <c r="U5" i="1"/>
  <c r="T5" i="1"/>
  <c r="S5" i="1"/>
  <c r="R5" i="1"/>
  <c r="S2" i="1"/>
  <c r="R2" i="1"/>
  <c r="AF54" i="1" l="1"/>
  <c r="AF55" i="1" s="1"/>
  <c r="C3" i="2" l="1"/>
  <c r="B3" i="2"/>
  <c r="C4" i="2" l="1"/>
  <c r="B4" i="2"/>
  <c r="B5" i="2" l="1"/>
  <c r="C5" i="2"/>
  <c r="C6" i="2" l="1"/>
  <c r="B6" i="2"/>
  <c r="C8" i="2" l="1"/>
  <c r="B8" i="2"/>
  <c r="C7" i="2"/>
  <c r="B7" i="2"/>
  <c r="B9" i="2" l="1"/>
  <c r="C9" i="2"/>
  <c r="C10" i="2" l="1"/>
  <c r="B10" i="2"/>
  <c r="C11" i="2" l="1"/>
  <c r="B11" i="2"/>
  <c r="C12" i="2" l="1"/>
  <c r="B12" i="2"/>
  <c r="B13" i="2" l="1"/>
  <c r="C13" i="2"/>
  <c r="C14" i="2" l="1"/>
  <c r="B14" i="2"/>
  <c r="C15" i="2" l="1"/>
  <c r="B15" i="2"/>
  <c r="C16" i="2" l="1"/>
  <c r="B16" i="2"/>
  <c r="B17" i="2" l="1"/>
  <c r="C17" i="2"/>
  <c r="C18" i="2" l="1"/>
  <c r="B18" i="2"/>
  <c r="C19" i="2" l="1"/>
  <c r="B19" i="2"/>
  <c r="C20" i="2" l="1"/>
  <c r="B20" i="2"/>
  <c r="B21" i="2" l="1"/>
  <c r="C21" i="2"/>
  <c r="C22" i="2" l="1"/>
  <c r="B22" i="2"/>
  <c r="C23" i="2" l="1"/>
  <c r="B23" i="2"/>
  <c r="C24" i="2" l="1"/>
  <c r="B24" i="2"/>
  <c r="B25" i="2" l="1"/>
  <c r="C25" i="2"/>
  <c r="C26" i="2" l="1"/>
  <c r="B26" i="2"/>
  <c r="C27" i="2" l="1"/>
  <c r="B27" i="2"/>
  <c r="C28" i="2" l="1"/>
  <c r="B28" i="2"/>
  <c r="B29" i="2" l="1"/>
  <c r="C29" i="2"/>
  <c r="C30" i="2" l="1"/>
  <c r="B30" i="2"/>
  <c r="C31" i="2" l="1"/>
  <c r="B31" i="2"/>
  <c r="C32" i="2" l="1"/>
  <c r="B32" i="2"/>
  <c r="B33" i="2" l="1"/>
  <c r="C33" i="2"/>
  <c r="C34" i="2" l="1"/>
  <c r="B34" i="2"/>
  <c r="C35" i="2" l="1"/>
  <c r="B35" i="2"/>
  <c r="C36" i="2" l="1"/>
  <c r="B36" i="2"/>
  <c r="B37" i="2" l="1"/>
  <c r="C37" i="2"/>
  <c r="C38" i="2" l="1"/>
  <c r="B38" i="2"/>
  <c r="C39" i="2" l="1"/>
  <c r="B39" i="2"/>
  <c r="C40" i="2" l="1"/>
  <c r="B40" i="2"/>
  <c r="B41" i="2" l="1"/>
  <c r="C41" i="2"/>
  <c r="C42" i="2" l="1"/>
  <c r="B42" i="2"/>
  <c r="C43" i="2" l="1"/>
  <c r="B43" i="2"/>
  <c r="C44" i="2" l="1"/>
  <c r="B44" i="2"/>
  <c r="B45" i="2" l="1"/>
  <c r="C45" i="2"/>
  <c r="C46" i="2" l="1"/>
  <c r="B46" i="2"/>
  <c r="C47" i="2" l="1"/>
  <c r="B47" i="2"/>
  <c r="C48" i="2" l="1"/>
  <c r="B48" i="2"/>
  <c r="B49" i="2" l="1"/>
  <c r="C49" i="2"/>
  <c r="C50" i="2" l="1"/>
  <c r="B50" i="2"/>
  <c r="C51" i="2" l="1"/>
  <c r="B51" i="2"/>
  <c r="C52" i="2" l="1"/>
  <c r="B52" i="2"/>
  <c r="B53" i="2" l="1"/>
  <c r="C53" i="2"/>
  <c r="C54" i="2" l="1"/>
  <c r="B54" i="2"/>
  <c r="C55" i="2" l="1"/>
  <c r="B55" i="2"/>
  <c r="C56" i="2" l="1"/>
  <c r="B56" i="2"/>
  <c r="C57" i="2" l="1"/>
  <c r="B57" i="2"/>
  <c r="C58" i="2" l="1"/>
  <c r="B58" i="2"/>
  <c r="C59" i="2" l="1"/>
  <c r="B59" i="2"/>
  <c r="C60" i="2" l="1"/>
  <c r="B60" i="2"/>
  <c r="B61" i="2" l="1"/>
  <c r="C61" i="2"/>
  <c r="C62" i="2" l="1"/>
  <c r="B62" i="2"/>
  <c r="C63" i="2" l="1"/>
  <c r="B63" i="2"/>
  <c r="C64" i="2" l="1"/>
  <c r="B64" i="2"/>
  <c r="C65" i="2" l="1"/>
  <c r="B65" i="2"/>
  <c r="C66" i="2" l="1"/>
  <c r="B66" i="2"/>
  <c r="C67" i="2" l="1"/>
  <c r="B67" i="2"/>
  <c r="C68" i="2" l="1"/>
  <c r="B68" i="2"/>
  <c r="B69" i="2" l="1"/>
  <c r="C69" i="2"/>
  <c r="C70" i="2" l="1"/>
  <c r="B70" i="2"/>
  <c r="C71" i="2" l="1"/>
  <c r="B71" i="2"/>
  <c r="C72" i="2" l="1"/>
  <c r="B72" i="2"/>
  <c r="C73" i="2" l="1"/>
  <c r="B73" i="2"/>
  <c r="C74" i="2" l="1"/>
  <c r="B74" i="2"/>
  <c r="C75" i="2" l="1"/>
  <c r="B75" i="2"/>
  <c r="C76" i="2" l="1"/>
  <c r="B76" i="2"/>
  <c r="B77" i="2" l="1"/>
  <c r="C77" i="2"/>
  <c r="C78" i="2" l="1"/>
  <c r="B78" i="2"/>
  <c r="C79" i="2" l="1"/>
  <c r="B79" i="2"/>
  <c r="C80" i="2" l="1"/>
  <c r="B80" i="2"/>
  <c r="C81" i="2" l="1"/>
  <c r="B81" i="2"/>
  <c r="C82" i="2" l="1"/>
  <c r="B82" i="2"/>
  <c r="C83" i="2" l="1"/>
  <c r="B83" i="2"/>
  <c r="C84" i="2" l="1"/>
  <c r="B84" i="2"/>
  <c r="B85" i="2" l="1"/>
  <c r="C85" i="2"/>
  <c r="C86" i="2" l="1"/>
  <c r="B86" i="2"/>
  <c r="C87" i="2" l="1"/>
  <c r="B87" i="2"/>
  <c r="C88" i="2" l="1"/>
  <c r="B88" i="2"/>
  <c r="C89" i="2" l="1"/>
  <c r="B89" i="2"/>
  <c r="C90" i="2" l="1"/>
  <c r="B90" i="2"/>
  <c r="C91" i="2" l="1"/>
  <c r="B91" i="2"/>
  <c r="C92" i="2" l="1"/>
  <c r="B92" i="2"/>
  <c r="B93" i="2" l="1"/>
  <c r="C93" i="2"/>
  <c r="C94" i="2" l="1"/>
  <c r="B94" i="2"/>
  <c r="C95" i="2" l="1"/>
  <c r="B95" i="2"/>
  <c r="C96" i="2" l="1"/>
  <c r="B96" i="2"/>
  <c r="C97" i="2" l="1"/>
  <c r="B97" i="2"/>
  <c r="C98" i="2" l="1"/>
  <c r="B98" i="2"/>
  <c r="C99" i="2" l="1"/>
  <c r="B99" i="2"/>
  <c r="C100" i="2" l="1"/>
  <c r="B100" i="2"/>
  <c r="B101" i="2" l="1"/>
  <c r="C101" i="2"/>
  <c r="C102" i="2" l="1"/>
  <c r="B102" i="2"/>
  <c r="C103" i="2" l="1"/>
  <c r="B103" i="2"/>
  <c r="C104" i="2" l="1"/>
  <c r="B104" i="2"/>
  <c r="C105" i="2" l="1"/>
  <c r="B105" i="2"/>
  <c r="C106" i="2" l="1"/>
  <c r="B106" i="2"/>
  <c r="C107" i="2" l="1"/>
  <c r="B107" i="2"/>
  <c r="C108" i="2" l="1"/>
  <c r="B108" i="2"/>
  <c r="B109" i="2" l="1"/>
  <c r="C109" i="2"/>
  <c r="C110" i="2" l="1"/>
  <c r="B110" i="2"/>
  <c r="C111" i="2" l="1"/>
  <c r="B111" i="2"/>
  <c r="C112" i="2" l="1"/>
  <c r="B112" i="2"/>
  <c r="C113" i="2" l="1"/>
  <c r="B113" i="2"/>
  <c r="C114" i="2" l="1"/>
  <c r="B114" i="2"/>
  <c r="C115" i="2" l="1"/>
  <c r="B115" i="2"/>
  <c r="C116" i="2" l="1"/>
  <c r="B116" i="2"/>
  <c r="B117" i="2" l="1"/>
  <c r="C117" i="2"/>
  <c r="C118" i="2" l="1"/>
  <c r="B118" i="2"/>
  <c r="C119" i="2" l="1"/>
  <c r="B119" i="2"/>
  <c r="C120" i="2" l="1"/>
  <c r="B120" i="2"/>
  <c r="C121" i="2" l="1"/>
  <c r="B121" i="2"/>
  <c r="C122" i="2" l="1"/>
  <c r="B122" i="2"/>
  <c r="C123" i="2" l="1"/>
  <c r="B123" i="2"/>
  <c r="C124" i="2" l="1"/>
  <c r="B124" i="2"/>
  <c r="B125" i="2" l="1"/>
  <c r="C125" i="2"/>
  <c r="C126" i="2" l="1"/>
  <c r="B126" i="2"/>
  <c r="C127" i="2" l="1"/>
  <c r="B127" i="2"/>
  <c r="C128" i="2" l="1"/>
  <c r="B128" i="2"/>
  <c r="C129" i="2" l="1"/>
  <c r="B129" i="2"/>
  <c r="C130" i="2" l="1"/>
  <c r="B130" i="2"/>
  <c r="C132" i="2" l="1"/>
  <c r="B132" i="2"/>
  <c r="C131" i="2"/>
  <c r="B131" i="2"/>
  <c r="B133" i="2" l="1"/>
  <c r="C133" i="2"/>
  <c r="C134" i="2" l="1"/>
  <c r="B134" i="2"/>
  <c r="C135" i="2" l="1"/>
  <c r="B135" i="2"/>
  <c r="C136" i="2" l="1"/>
  <c r="B136" i="2"/>
  <c r="C137" i="2" l="1"/>
  <c r="B137" i="2"/>
  <c r="C138" i="2" l="1"/>
  <c r="B138" i="2"/>
  <c r="C139" i="2" l="1"/>
  <c r="B139" i="2"/>
  <c r="C140" i="2" l="1"/>
  <c r="B140" i="2"/>
  <c r="B141" i="2" l="1"/>
  <c r="C141" i="2"/>
  <c r="C142" i="2" l="1"/>
  <c r="B142" i="2"/>
  <c r="C143" i="2" l="1"/>
  <c r="B143" i="2"/>
  <c r="C144" i="2" l="1"/>
  <c r="B144" i="2"/>
  <c r="C145" i="2" l="1"/>
  <c r="B145" i="2"/>
  <c r="C146" i="2" l="1"/>
  <c r="B146" i="2"/>
  <c r="C147" i="2" l="1"/>
  <c r="B147" i="2"/>
  <c r="C148" i="2" l="1"/>
  <c r="B148" i="2"/>
  <c r="B149" i="2" l="1"/>
  <c r="C149" i="2"/>
  <c r="C150" i="2" l="1"/>
  <c r="B150" i="2"/>
  <c r="C151" i="2" l="1"/>
  <c r="B151" i="2"/>
  <c r="C152" i="2" l="1"/>
  <c r="B152" i="2"/>
  <c r="C153" i="2" l="1"/>
  <c r="B153" i="2"/>
  <c r="C154" i="2" l="1"/>
  <c r="B154" i="2"/>
  <c r="C155" i="2" l="1"/>
  <c r="B155" i="2"/>
  <c r="C156" i="2" l="1"/>
  <c r="B156" i="2"/>
  <c r="B157" i="2" l="1"/>
  <c r="C157" i="2"/>
  <c r="C158" i="2" l="1"/>
  <c r="B158" i="2"/>
  <c r="C159" i="2" l="1"/>
  <c r="B159" i="2"/>
  <c r="C160" i="2" l="1"/>
  <c r="B160" i="2"/>
  <c r="C161" i="2" l="1"/>
  <c r="B161" i="2"/>
  <c r="C162" i="2" l="1"/>
  <c r="B162" i="2"/>
  <c r="C163" i="2" l="1"/>
  <c r="B163" i="2"/>
  <c r="C164" i="2" l="1"/>
  <c r="B164" i="2"/>
  <c r="B165" i="2" l="1"/>
  <c r="C165" i="2"/>
  <c r="C166" i="2" l="1"/>
  <c r="B166" i="2"/>
  <c r="C167" i="2" l="1"/>
  <c r="B167" i="2"/>
  <c r="C168" i="2" l="1"/>
  <c r="B168" i="2"/>
  <c r="C169" i="2" l="1"/>
  <c r="B169" i="2"/>
  <c r="C170" i="2" l="1"/>
  <c r="B170" i="2"/>
  <c r="C171" i="2" l="1"/>
  <c r="B171" i="2"/>
  <c r="C172" i="2" l="1"/>
  <c r="B172" i="2"/>
  <c r="B173" i="2" l="1"/>
  <c r="C173" i="2"/>
  <c r="C174" i="2" l="1"/>
  <c r="B174" i="2"/>
  <c r="C175" i="2" l="1"/>
  <c r="B175" i="2"/>
  <c r="C176" i="2" l="1"/>
  <c r="B176" i="2"/>
  <c r="B177" i="2" l="1"/>
  <c r="C177" i="2"/>
  <c r="C178" i="2" l="1"/>
  <c r="B178" i="2"/>
  <c r="C179" i="2" l="1"/>
  <c r="B179" i="2"/>
  <c r="C180" i="2" l="1"/>
  <c r="B180" i="2"/>
  <c r="B181" i="2" l="1"/>
  <c r="C181" i="2"/>
  <c r="C182" i="2" l="1"/>
  <c r="B182" i="2"/>
  <c r="C183" i="2" l="1"/>
  <c r="B183" i="2"/>
  <c r="C184" i="2" l="1"/>
  <c r="B184" i="2"/>
  <c r="B185" i="2" l="1"/>
  <c r="C185" i="2"/>
  <c r="C186" i="2" l="1"/>
  <c r="B186" i="2"/>
  <c r="C187" i="2" l="1"/>
  <c r="B187" i="2"/>
  <c r="C188" i="2" l="1"/>
  <c r="B188" i="2"/>
  <c r="C189" i="2" l="1"/>
  <c r="B189" i="2"/>
  <c r="C190" i="2" l="1"/>
  <c r="B190" i="2"/>
  <c r="C191" i="2" l="1"/>
  <c r="B191" i="2"/>
  <c r="C192" i="2" l="1"/>
  <c r="B192" i="2"/>
  <c r="C193" i="2" l="1"/>
  <c r="B193" i="2"/>
  <c r="C194" i="2" l="1"/>
  <c r="B194" i="2"/>
  <c r="C195" i="2" l="1"/>
  <c r="B195" i="2"/>
  <c r="C196" i="2" l="1"/>
  <c r="B196" i="2"/>
  <c r="C197" i="2" l="1"/>
  <c r="B197" i="2"/>
  <c r="C198" i="2" l="1"/>
  <c r="B198" i="2"/>
  <c r="C199" i="2" l="1"/>
  <c r="B199" i="2"/>
  <c r="C200" i="2" l="1"/>
  <c r="B200" i="2"/>
  <c r="B201" i="2" l="1"/>
  <c r="C201" i="2"/>
  <c r="C202" i="2" l="1"/>
  <c r="B202" i="2"/>
</calcChain>
</file>

<file path=xl/connections.xml><?xml version="1.0" encoding="utf-8"?>
<connections xmlns="http://schemas.openxmlformats.org/spreadsheetml/2006/main">
  <connection id="1" name="task2" type="6" refreshedVersion="5" background="1" saveData="1">
    <textPr codePage="866" sourceFile="C:\Users\ASUS\Downloads\Telegram Desktop\task2.csv" decimal="," thousands=" " tab="0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<sst xmlns="http://schemas.openxmlformats.org/spreadsheetml/2006/main" count="34" uniqueCount="29">
  <si>
    <t>x_1</t>
  </si>
  <si>
    <t>x_2</t>
  </si>
  <si>
    <t>target</t>
  </si>
  <si>
    <t>SORTED</t>
  </si>
  <si>
    <t>I--&gt;</t>
  </si>
  <si>
    <t>y</t>
  </si>
  <si>
    <t>x</t>
  </si>
  <si>
    <t>N(0,1)</t>
  </si>
  <si>
    <t>E(1)</t>
  </si>
  <si>
    <t>p(y=-1)=n- / (n- + n+)</t>
  </si>
  <si>
    <t>p(y=+1)=n+ / (n- + n+)</t>
  </si>
  <si>
    <t xml:space="preserve"> </t>
  </si>
  <si>
    <t>мю_4 при x_2|y=+1</t>
  </si>
  <si>
    <t>мю_3 при x_1|y=+1</t>
  </si>
  <si>
    <t>мю_2 при x_2|y=-1</t>
  </si>
  <si>
    <t>мю_1 при x_1|y=-1</t>
  </si>
  <si>
    <t>сигма_1^2 при x_1|y=-1</t>
  </si>
  <si>
    <t>сигма_2^2 при x_2|y=-1</t>
  </si>
  <si>
    <t>сигма_3^2 при x_1|y=+1</t>
  </si>
  <si>
    <t>сигма_4^2 при x_2|y=+1</t>
  </si>
  <si>
    <t>N(мю,сигма)</t>
  </si>
  <si>
    <t>1/корень(2ПИ)</t>
  </si>
  <si>
    <t>p(x|y=-1)</t>
  </si>
  <si>
    <t>p(x|y=+1)</t>
  </si>
  <si>
    <t>a*</t>
  </si>
  <si>
    <t>x_1|y=-1</t>
  </si>
  <si>
    <t>x_1|y=+1</t>
  </si>
  <si>
    <t>x_2|y=-1</t>
  </si>
  <si>
    <t>x_2|y=+1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</si>
</sst>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Fill="1" applyBorder="1"/>
    <xf numFmtId="0" fontId="2" fillId="0" borderId="0" xfId="0" applyFont="1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task1!$A$2:$A$202</c:f>
              <c:numCache>
                <c:formatCode>General</c:formatCode>
                <c:ptCount val="201"/>
                <c:pt idx="0">
                  <c:v>-6</c:v>
                </c:pt>
                <c:pt idx="1">
                  <c:v>-5.9</c:v>
                </c:pt>
                <c:pt idx="2">
                  <c:v>-5.8000000000000007</c:v>
                </c:pt>
                <c:pt idx="3">
                  <c:v>-5.7000000000000011</c:v>
                </c:pt>
                <c:pt idx="4">
                  <c:v>-5.6000000000000014</c:v>
                </c:pt>
                <c:pt idx="5">
                  <c:v>-5.5000000000000018</c:v>
                </c:pt>
                <c:pt idx="6">
                  <c:v>-5.4000000000000021</c:v>
                </c:pt>
                <c:pt idx="7">
                  <c:v>-5.3000000000000025</c:v>
                </c:pt>
                <c:pt idx="8">
                  <c:v>-5.2000000000000028</c:v>
                </c:pt>
                <c:pt idx="9">
                  <c:v>-5.1000000000000032</c:v>
                </c:pt>
                <c:pt idx="10">
                  <c:v>-5.0000000000000036</c:v>
                </c:pt>
                <c:pt idx="11">
                  <c:v>-4.9000000000000039</c:v>
                </c:pt>
                <c:pt idx="12">
                  <c:v>-4.8000000000000043</c:v>
                </c:pt>
                <c:pt idx="13">
                  <c:v>-4.7000000000000046</c:v>
                </c:pt>
                <c:pt idx="14">
                  <c:v>-4.600000000000005</c:v>
                </c:pt>
                <c:pt idx="15">
                  <c:v>-4.5000000000000053</c:v>
                </c:pt>
                <c:pt idx="16">
                  <c:v>-4.4000000000000057</c:v>
                </c:pt>
                <c:pt idx="17">
                  <c:v>-4.300000000000006</c:v>
                </c:pt>
                <c:pt idx="18">
                  <c:v>-4.2000000000000064</c:v>
                </c:pt>
                <c:pt idx="19">
                  <c:v>-4.1000000000000068</c:v>
                </c:pt>
                <c:pt idx="20">
                  <c:v>-4.0000000000000071</c:v>
                </c:pt>
                <c:pt idx="21">
                  <c:v>-3.900000000000007</c:v>
                </c:pt>
                <c:pt idx="22">
                  <c:v>-3.8000000000000069</c:v>
                </c:pt>
                <c:pt idx="23">
                  <c:v>-3.7000000000000068</c:v>
                </c:pt>
                <c:pt idx="24">
                  <c:v>-3.6000000000000068</c:v>
                </c:pt>
                <c:pt idx="25">
                  <c:v>-3.5000000000000067</c:v>
                </c:pt>
                <c:pt idx="26">
                  <c:v>-3.4000000000000066</c:v>
                </c:pt>
                <c:pt idx="27">
                  <c:v>-3.3000000000000065</c:v>
                </c:pt>
                <c:pt idx="28">
                  <c:v>-3.2000000000000064</c:v>
                </c:pt>
                <c:pt idx="29">
                  <c:v>-3.1000000000000063</c:v>
                </c:pt>
                <c:pt idx="30">
                  <c:v>-3.0000000000000062</c:v>
                </c:pt>
                <c:pt idx="31">
                  <c:v>-2.9000000000000061</c:v>
                </c:pt>
                <c:pt idx="32">
                  <c:v>-2.800000000000006</c:v>
                </c:pt>
                <c:pt idx="33">
                  <c:v>-2.700000000000006</c:v>
                </c:pt>
                <c:pt idx="34">
                  <c:v>-2.6000000000000059</c:v>
                </c:pt>
                <c:pt idx="35">
                  <c:v>-2.5000000000000058</c:v>
                </c:pt>
                <c:pt idx="36">
                  <c:v>-2.4000000000000057</c:v>
                </c:pt>
                <c:pt idx="37">
                  <c:v>-2.3000000000000056</c:v>
                </c:pt>
                <c:pt idx="38">
                  <c:v>-2.2000000000000055</c:v>
                </c:pt>
                <c:pt idx="39">
                  <c:v>-2.1000000000000054</c:v>
                </c:pt>
                <c:pt idx="40">
                  <c:v>-2.0000000000000053</c:v>
                </c:pt>
                <c:pt idx="41">
                  <c:v>-1.9000000000000052</c:v>
                </c:pt>
                <c:pt idx="42">
                  <c:v>-1.8000000000000052</c:v>
                </c:pt>
                <c:pt idx="43">
                  <c:v>-1.7000000000000051</c:v>
                </c:pt>
                <c:pt idx="44">
                  <c:v>-1.600000000000005</c:v>
                </c:pt>
                <c:pt idx="45">
                  <c:v>-1.5000000000000049</c:v>
                </c:pt>
                <c:pt idx="46">
                  <c:v>-1.4000000000000048</c:v>
                </c:pt>
                <c:pt idx="47">
                  <c:v>-1.3000000000000047</c:v>
                </c:pt>
                <c:pt idx="48">
                  <c:v>-1.2000000000000046</c:v>
                </c:pt>
                <c:pt idx="49">
                  <c:v>-1.1000000000000045</c:v>
                </c:pt>
                <c:pt idx="50">
                  <c:v>-1.0000000000000044</c:v>
                </c:pt>
                <c:pt idx="51">
                  <c:v>-0.90000000000000446</c:v>
                </c:pt>
                <c:pt idx="52">
                  <c:v>-0.80000000000000449</c:v>
                </c:pt>
                <c:pt idx="53">
                  <c:v>-0.70000000000000451</c:v>
                </c:pt>
                <c:pt idx="54">
                  <c:v>-0.60000000000000453</c:v>
                </c:pt>
                <c:pt idx="55">
                  <c:v>-0.50000000000000455</c:v>
                </c:pt>
                <c:pt idx="56">
                  <c:v>-0.40000000000000457</c:v>
                </c:pt>
                <c:pt idx="57">
                  <c:v>-0.3000000000000046</c:v>
                </c:pt>
                <c:pt idx="58">
                  <c:v>-0.20000000000000459</c:v>
                </c:pt>
                <c:pt idx="59">
                  <c:v>-0.10000000000000459</c:v>
                </c:pt>
                <c:pt idx="60">
                  <c:v>0</c:v>
                </c:pt>
                <c:pt idx="61">
                  <c:v>0.1</c:v>
                </c:pt>
                <c:pt idx="62">
                  <c:v>0.2</c:v>
                </c:pt>
                <c:pt idx="63">
                  <c:v>0.30000000000000004</c:v>
                </c:pt>
                <c:pt idx="64">
                  <c:v>0.4</c:v>
                </c:pt>
                <c:pt idx="65">
                  <c:v>0.5</c:v>
                </c:pt>
                <c:pt idx="66">
                  <c:v>0.6</c:v>
                </c:pt>
                <c:pt idx="67">
                  <c:v>0.7</c:v>
                </c:pt>
                <c:pt idx="68">
                  <c:v>0.79999999999999993</c:v>
                </c:pt>
                <c:pt idx="69">
                  <c:v>0.89999999999999991</c:v>
                </c:pt>
                <c:pt idx="70">
                  <c:v>0.99999999999999989</c:v>
                </c:pt>
                <c:pt idx="71">
                  <c:v>1.0999999999999999</c:v>
                </c:pt>
                <c:pt idx="72">
                  <c:v>1.2</c:v>
                </c:pt>
                <c:pt idx="73">
                  <c:v>1.3</c:v>
                </c:pt>
                <c:pt idx="74">
                  <c:v>1.4000000000000001</c:v>
                </c:pt>
                <c:pt idx="75">
                  <c:v>1.5000000000000002</c:v>
                </c:pt>
                <c:pt idx="76">
                  <c:v>1.6000000000000003</c:v>
                </c:pt>
                <c:pt idx="77">
                  <c:v>1.7000000000000004</c:v>
                </c:pt>
                <c:pt idx="78">
                  <c:v>1.8000000000000005</c:v>
                </c:pt>
                <c:pt idx="79">
                  <c:v>1.9000000000000006</c:v>
                </c:pt>
                <c:pt idx="80">
                  <c:v>2.0000000000000004</c:v>
                </c:pt>
                <c:pt idx="81">
                  <c:v>2.1000000000000005</c:v>
                </c:pt>
                <c:pt idx="82">
                  <c:v>2.2000000000000006</c:v>
                </c:pt>
                <c:pt idx="83">
                  <c:v>2.3000000000000007</c:v>
                </c:pt>
                <c:pt idx="84">
                  <c:v>2.4000000000000008</c:v>
                </c:pt>
                <c:pt idx="85">
                  <c:v>2.5000000000000009</c:v>
                </c:pt>
                <c:pt idx="86">
                  <c:v>2.600000000000001</c:v>
                </c:pt>
                <c:pt idx="87">
                  <c:v>2.7000000000000011</c:v>
                </c:pt>
                <c:pt idx="88">
                  <c:v>2.8000000000000012</c:v>
                </c:pt>
                <c:pt idx="89">
                  <c:v>2.9000000000000012</c:v>
                </c:pt>
                <c:pt idx="90">
                  <c:v>3.0000000000000013</c:v>
                </c:pt>
                <c:pt idx="91">
                  <c:v>3.1000000000000014</c:v>
                </c:pt>
                <c:pt idx="92">
                  <c:v>3.2000000000000015</c:v>
                </c:pt>
                <c:pt idx="93">
                  <c:v>3.3000000000000016</c:v>
                </c:pt>
                <c:pt idx="94">
                  <c:v>3.4000000000000017</c:v>
                </c:pt>
                <c:pt idx="95">
                  <c:v>3.5000000000000018</c:v>
                </c:pt>
                <c:pt idx="96">
                  <c:v>3.6000000000000019</c:v>
                </c:pt>
                <c:pt idx="97">
                  <c:v>3.700000000000002</c:v>
                </c:pt>
                <c:pt idx="98">
                  <c:v>3.800000000000002</c:v>
                </c:pt>
                <c:pt idx="99">
                  <c:v>3.9000000000000021</c:v>
                </c:pt>
                <c:pt idx="100">
                  <c:v>4.0000000000000018</c:v>
                </c:pt>
                <c:pt idx="101">
                  <c:v>4.1000000000000014</c:v>
                </c:pt>
                <c:pt idx="102">
                  <c:v>4.2000000000000011</c:v>
                </c:pt>
                <c:pt idx="103">
                  <c:v>4.3000000000000007</c:v>
                </c:pt>
                <c:pt idx="104">
                  <c:v>4.4000000000000004</c:v>
                </c:pt>
                <c:pt idx="105">
                  <c:v>4.5</c:v>
                </c:pt>
                <c:pt idx="106">
                  <c:v>4.5999999999999996</c:v>
                </c:pt>
                <c:pt idx="107">
                  <c:v>4.6999999999999993</c:v>
                </c:pt>
                <c:pt idx="108">
                  <c:v>4.7999999999999989</c:v>
                </c:pt>
                <c:pt idx="109">
                  <c:v>4.8999999999999986</c:v>
                </c:pt>
                <c:pt idx="110">
                  <c:v>4.9999999999999982</c:v>
                </c:pt>
                <c:pt idx="111">
                  <c:v>5.0999999999999979</c:v>
                </c:pt>
                <c:pt idx="112">
                  <c:v>5.1999999999999975</c:v>
                </c:pt>
                <c:pt idx="113">
                  <c:v>5.2999999999999972</c:v>
                </c:pt>
                <c:pt idx="114">
                  <c:v>5.3999999999999968</c:v>
                </c:pt>
                <c:pt idx="115">
                  <c:v>5.4999999999999964</c:v>
                </c:pt>
                <c:pt idx="116">
                  <c:v>5.5999999999999961</c:v>
                </c:pt>
                <c:pt idx="117">
                  <c:v>5.6999999999999957</c:v>
                </c:pt>
                <c:pt idx="118">
                  <c:v>5.7999999999999954</c:v>
                </c:pt>
                <c:pt idx="119">
                  <c:v>5.899999999999995</c:v>
                </c:pt>
                <c:pt idx="120">
                  <c:v>5.9999999999999947</c:v>
                </c:pt>
                <c:pt idx="121">
                  <c:v>6.0999999999999943</c:v>
                </c:pt>
                <c:pt idx="122">
                  <c:v>6.199999999999994</c:v>
                </c:pt>
                <c:pt idx="123">
                  <c:v>6.2999999999999936</c:v>
                </c:pt>
                <c:pt idx="124">
                  <c:v>6.3999999999999932</c:v>
                </c:pt>
                <c:pt idx="125">
                  <c:v>6.4999999999999929</c:v>
                </c:pt>
                <c:pt idx="126">
                  <c:v>6.5999999999999925</c:v>
                </c:pt>
                <c:pt idx="127">
                  <c:v>6.6999999999999922</c:v>
                </c:pt>
                <c:pt idx="128">
                  <c:v>6.7999999999999918</c:v>
                </c:pt>
                <c:pt idx="129">
                  <c:v>6.8999999999999915</c:v>
                </c:pt>
                <c:pt idx="130">
                  <c:v>6.9999999999999911</c:v>
                </c:pt>
                <c:pt idx="131">
                  <c:v>7.0999999999999908</c:v>
                </c:pt>
                <c:pt idx="132">
                  <c:v>7.1999999999999904</c:v>
                </c:pt>
                <c:pt idx="133">
                  <c:v>7.2999999999999901</c:v>
                </c:pt>
                <c:pt idx="134">
                  <c:v>7.3999999999999897</c:v>
                </c:pt>
                <c:pt idx="135">
                  <c:v>7.4999999999999893</c:v>
                </c:pt>
                <c:pt idx="136">
                  <c:v>7.599999999999989</c:v>
                </c:pt>
                <c:pt idx="137">
                  <c:v>7.6999999999999886</c:v>
                </c:pt>
                <c:pt idx="138">
                  <c:v>7.7999999999999883</c:v>
                </c:pt>
                <c:pt idx="139">
                  <c:v>7.8999999999999879</c:v>
                </c:pt>
                <c:pt idx="140">
                  <c:v>7.9999999999999876</c:v>
                </c:pt>
                <c:pt idx="141">
                  <c:v>8.0999999999999872</c:v>
                </c:pt>
                <c:pt idx="142">
                  <c:v>8.1999999999999869</c:v>
                </c:pt>
                <c:pt idx="143">
                  <c:v>8.2999999999999865</c:v>
                </c:pt>
                <c:pt idx="144">
                  <c:v>8.3999999999999861</c:v>
                </c:pt>
                <c:pt idx="145">
                  <c:v>8.4999999999999858</c:v>
                </c:pt>
                <c:pt idx="146">
                  <c:v>8.5999999999999854</c:v>
                </c:pt>
                <c:pt idx="147">
                  <c:v>8.6999999999999851</c:v>
                </c:pt>
                <c:pt idx="148">
                  <c:v>8.7999999999999847</c:v>
                </c:pt>
                <c:pt idx="149">
                  <c:v>8.8999999999999844</c:v>
                </c:pt>
                <c:pt idx="150">
                  <c:v>8.999999999999984</c:v>
                </c:pt>
                <c:pt idx="151">
                  <c:v>9.0999999999999837</c:v>
                </c:pt>
                <c:pt idx="152">
                  <c:v>9.1999999999999833</c:v>
                </c:pt>
                <c:pt idx="153">
                  <c:v>9.2999999999999829</c:v>
                </c:pt>
                <c:pt idx="154">
                  <c:v>9.3999999999999826</c:v>
                </c:pt>
                <c:pt idx="155">
                  <c:v>9.4999999999999822</c:v>
                </c:pt>
                <c:pt idx="156">
                  <c:v>9.5999999999999819</c:v>
                </c:pt>
                <c:pt idx="157">
                  <c:v>9.6999999999999815</c:v>
                </c:pt>
                <c:pt idx="158">
                  <c:v>9.7999999999999812</c:v>
                </c:pt>
                <c:pt idx="159">
                  <c:v>9.8999999999999808</c:v>
                </c:pt>
                <c:pt idx="160">
                  <c:v>9.9999999999999805</c:v>
                </c:pt>
                <c:pt idx="161">
                  <c:v>10.09999999999998</c:v>
                </c:pt>
                <c:pt idx="162">
                  <c:v>10.19999999999998</c:v>
                </c:pt>
                <c:pt idx="163">
                  <c:v>10.299999999999979</c:v>
                </c:pt>
                <c:pt idx="164">
                  <c:v>10.399999999999979</c:v>
                </c:pt>
                <c:pt idx="165">
                  <c:v>10.499999999999979</c:v>
                </c:pt>
                <c:pt idx="166">
                  <c:v>10.599999999999978</c:v>
                </c:pt>
                <c:pt idx="167">
                  <c:v>10.699999999999978</c:v>
                </c:pt>
                <c:pt idx="168">
                  <c:v>10.799999999999978</c:v>
                </c:pt>
                <c:pt idx="169">
                  <c:v>10.899999999999977</c:v>
                </c:pt>
                <c:pt idx="170">
                  <c:v>10.999999999999977</c:v>
                </c:pt>
                <c:pt idx="171">
                  <c:v>11.099999999999977</c:v>
                </c:pt>
                <c:pt idx="172">
                  <c:v>11.199999999999976</c:v>
                </c:pt>
                <c:pt idx="173">
                  <c:v>11.299999999999976</c:v>
                </c:pt>
                <c:pt idx="174">
                  <c:v>11.399999999999975</c:v>
                </c:pt>
                <c:pt idx="175">
                  <c:v>11.499999999999975</c:v>
                </c:pt>
                <c:pt idx="176">
                  <c:v>11.599999999999975</c:v>
                </c:pt>
                <c:pt idx="177">
                  <c:v>11.699999999999974</c:v>
                </c:pt>
                <c:pt idx="178">
                  <c:v>11.799999999999974</c:v>
                </c:pt>
                <c:pt idx="179">
                  <c:v>11.899999999999974</c:v>
                </c:pt>
                <c:pt idx="180">
                  <c:v>11.999999999999973</c:v>
                </c:pt>
                <c:pt idx="181">
                  <c:v>12.099999999999973</c:v>
                </c:pt>
                <c:pt idx="182">
                  <c:v>12.199999999999973</c:v>
                </c:pt>
                <c:pt idx="183">
                  <c:v>12.299999999999972</c:v>
                </c:pt>
                <c:pt idx="184">
                  <c:v>12.399999999999972</c:v>
                </c:pt>
                <c:pt idx="185">
                  <c:v>12.499999999999972</c:v>
                </c:pt>
                <c:pt idx="186">
                  <c:v>12.599999999999971</c:v>
                </c:pt>
                <c:pt idx="187">
                  <c:v>12.699999999999971</c:v>
                </c:pt>
                <c:pt idx="188">
                  <c:v>12.799999999999971</c:v>
                </c:pt>
                <c:pt idx="189">
                  <c:v>12.89999999999997</c:v>
                </c:pt>
                <c:pt idx="190">
                  <c:v>12.99999999999997</c:v>
                </c:pt>
                <c:pt idx="191">
                  <c:v>13.099999999999969</c:v>
                </c:pt>
                <c:pt idx="192">
                  <c:v>13.199999999999969</c:v>
                </c:pt>
                <c:pt idx="193">
                  <c:v>13.299999999999969</c:v>
                </c:pt>
                <c:pt idx="194">
                  <c:v>13.399999999999968</c:v>
                </c:pt>
                <c:pt idx="195">
                  <c:v>13.499999999999968</c:v>
                </c:pt>
                <c:pt idx="196">
                  <c:v>13.599999999999968</c:v>
                </c:pt>
                <c:pt idx="197">
                  <c:v>13.699999999999967</c:v>
                </c:pt>
                <c:pt idx="198">
                  <c:v>13.799999999999967</c:v>
                </c:pt>
                <c:pt idx="199">
                  <c:v>13.899999999999967</c:v>
                </c:pt>
                <c:pt idx="200">
                  <c:v>13.999999999999966</c:v>
                </c:pt>
              </c:numCache>
            </c:numRef>
          </c:xVal>
          <c:yVal>
            <c:numRef>
              <c:f>task1!$B$2:$B$202</c:f>
              <c:numCache>
                <c:formatCode>General</c:formatCode>
                <c:ptCount val="201"/>
                <c:pt idx="0">
                  <c:v>1.8227648549469859E-8</c:v>
                </c:pt>
                <c:pt idx="1">
                  <c:v>3.3047290874046924E-8</c:v>
                </c:pt>
                <c:pt idx="2">
                  <c:v>5.9319589218733807E-8</c:v>
                </c:pt>
                <c:pt idx="3">
                  <c:v>1.0541865284461265E-7</c:v>
                </c:pt>
                <c:pt idx="4">
                  <c:v>1.8547861500497375E-7</c:v>
                </c:pt>
                <c:pt idx="5">
                  <c:v>3.2309280127629485E-7</c:v>
                </c:pt>
                <c:pt idx="6">
                  <c:v>5.5720855336658203E-7</c:v>
                </c:pt>
                <c:pt idx="7">
                  <c:v>9.5140476501478087E-7</c:v>
                </c:pt>
                <c:pt idx="8">
                  <c:v>1.6083106034092613E-6</c:v>
                </c:pt>
                <c:pt idx="9">
                  <c:v>2.6917305487149537E-6</c:v>
                </c:pt>
                <c:pt idx="10">
                  <c:v>4.460158544202814E-6</c:v>
                </c:pt>
                <c:pt idx="11">
                  <c:v>7.3168822376799405E-6</c:v>
                </c:pt>
                <c:pt idx="12">
                  <c:v>1.1883897273095973E-5</c:v>
                </c:pt>
                <c:pt idx="13">
                  <c:v>1.9109475536600897E-5</c:v>
                </c:pt>
                <c:pt idx="14">
                  <c:v>3.0422556196459526E-5</c:v>
                </c:pt>
                <c:pt idx="15">
                  <c:v>4.7951223320715235E-5</c:v>
                </c:pt>
                <c:pt idx="16">
                  <c:v>7.4827413870158868E-5</c:v>
                </c:pt>
                <c:pt idx="17">
                  <c:v>1.1560559022625832E-4</c:v>
                </c:pt>
                <c:pt idx="18">
                  <c:v>1.7682920326961486E-4</c:v>
                </c:pt>
                <c:pt idx="19">
                  <c:v>2.6778497153139122E-4</c:v>
                </c:pt>
                <c:pt idx="20">
                  <c:v>4.0149067729464469E-4</c:v>
                </c:pt>
                <c:pt idx="21">
                  <c:v>5.9596641417830186E-4</c:v>
                </c:pt>
                <c:pt idx="22">
                  <c:v>8.758407773743575E-4</c:v>
                </c:pt>
                <c:pt idx="23">
                  <c:v>1.2743408116522228E-3</c:v>
                </c:pt>
                <c:pt idx="24">
                  <c:v>1.835705790341272E-3</c:v>
                </c:pt>
                <c:pt idx="25">
                  <c:v>2.6180480851372202E-3</c:v>
                </c:pt>
                <c:pt idx="26">
                  <c:v>3.6966575054189744E-3</c:v>
                </c:pt>
                <c:pt idx="27">
                  <c:v>5.1677068171609294E-3</c:v>
                </c:pt>
                <c:pt idx="28">
                  <c:v>7.1522646043943811E-3</c:v>
                </c:pt>
                <c:pt idx="29">
                  <c:v>9.8004571685995738E-3</c:v>
                </c:pt>
                <c:pt idx="30">
                  <c:v>1.3295545235813775E-2</c:v>
                </c:pt>
                <c:pt idx="31">
                  <c:v>1.7857597259327243E-2</c:v>
                </c:pt>
                <c:pt idx="32">
                  <c:v>2.3746354748939495E-2</c:v>
                </c:pt>
                <c:pt idx="33">
                  <c:v>3.1262804443267289E-2</c:v>
                </c:pt>
                <c:pt idx="34">
                  <c:v>4.0748907701056228E-2</c:v>
                </c:pt>
                <c:pt idx="35">
                  <c:v>5.2584901480704875E-2</c:v>
                </c:pt>
                <c:pt idx="36">
                  <c:v>6.7183590884527786E-2</c:v>
                </c:pt>
                <c:pt idx="37">
                  <c:v>8.4981113224802438E-2</c:v>
                </c:pt>
                <c:pt idx="38">
                  <c:v>0.10642377853869305</c:v>
                </c:pt>
                <c:pt idx="39">
                  <c:v>0.13195078794128012</c:v>
                </c:pt>
                <c:pt idx="40">
                  <c:v>0.16197289953956245</c:v>
                </c:pt>
                <c:pt idx="41">
                  <c:v>0.19684744432402784</c:v>
                </c:pt>
                <c:pt idx="42">
                  <c:v>0.2368504749026803</c:v>
                </c:pt>
                <c:pt idx="43">
                  <c:v>0.2821472321306584</c:v>
                </c:pt>
                <c:pt idx="44">
                  <c:v>0.33276250403836405</c:v>
                </c:pt>
                <c:pt idx="45">
                  <c:v>0.38855278699767237</c:v>
                </c:pt>
                <c:pt idx="46">
                  <c:v>0.44918239690723161</c:v>
                </c:pt>
                <c:pt idx="47">
                  <c:v>0.51410577614341901</c:v>
                </c:pt>
                <c:pt idx="48">
                  <c:v>0.58255816494963564</c:v>
                </c:pt>
                <c:pt idx="49">
                  <c:v>0.65355653109764844</c:v>
                </c:pt>
                <c:pt idx="50">
                  <c:v>0.72591217355742699</c:v>
                </c:pt>
                <c:pt idx="51">
                  <c:v>0.79825574969626134</c:v>
                </c:pt>
                <c:pt idx="52">
                  <c:v>0.86907465828444519</c:v>
                </c:pt>
                <c:pt idx="53">
                  <c:v>0.93676180010028087</c:v>
                </c:pt>
                <c:pt idx="54">
                  <c:v>0.99967380867539635</c:v>
                </c:pt>
                <c:pt idx="55">
                  <c:v>1.0561959802928962</c:v>
                </c:pt>
                <c:pt idx="56">
                  <c:v>1.1048104209099681</c:v>
                </c:pt>
                <c:pt idx="57">
                  <c:v>1.1441634463815709</c:v>
                </c:pt>
                <c:pt idx="58">
                  <c:v>1.1731280819263668</c:v>
                </c:pt>
                <c:pt idx="59">
                  <c:v>1.1908576424310349</c:v>
                </c:pt>
                <c:pt idx="60">
                  <c:v>1.1968268412042982</c:v>
                </c:pt>
                <c:pt idx="61">
                  <c:v>1.1908576424310355</c:v>
                </c:pt>
                <c:pt idx="62">
                  <c:v>1.1731280819263676</c:v>
                </c:pt>
                <c:pt idx="63">
                  <c:v>1.1441634463815724</c:v>
                </c:pt>
                <c:pt idx="64">
                  <c:v>1.1048104209099701</c:v>
                </c:pt>
                <c:pt idx="65">
                  <c:v>1.0561959802928986</c:v>
                </c:pt>
                <c:pt idx="66">
                  <c:v>0.99967380867539901</c:v>
                </c:pt>
                <c:pt idx="67">
                  <c:v>0.93676180010028387</c:v>
                </c:pt>
                <c:pt idx="68">
                  <c:v>0.8690746582844483</c:v>
                </c:pt>
                <c:pt idx="69">
                  <c:v>0.79825574969626467</c:v>
                </c:pt>
                <c:pt idx="70">
                  <c:v>0.72591217355743021</c:v>
                </c:pt>
                <c:pt idx="71">
                  <c:v>0.65355653109765177</c:v>
                </c:pt>
                <c:pt idx="72">
                  <c:v>0.58255816494963897</c:v>
                </c:pt>
                <c:pt idx="73">
                  <c:v>0.51410577614342201</c:v>
                </c:pt>
                <c:pt idx="74">
                  <c:v>0.44918239690723449</c:v>
                </c:pt>
                <c:pt idx="75">
                  <c:v>0.38855278699767504</c:v>
                </c:pt>
                <c:pt idx="76">
                  <c:v>0.3327625040383666</c:v>
                </c:pt>
                <c:pt idx="77">
                  <c:v>0.28214723213066056</c:v>
                </c:pt>
                <c:pt idx="78">
                  <c:v>0.2368504749026823</c:v>
                </c:pt>
                <c:pt idx="79">
                  <c:v>0.19684744432402959</c:v>
                </c:pt>
                <c:pt idx="80">
                  <c:v>0.16197289953956401</c:v>
                </c:pt>
                <c:pt idx="81">
                  <c:v>0.13195078794128146</c:v>
                </c:pt>
                <c:pt idx="82">
                  <c:v>0.10642377853869418</c:v>
                </c:pt>
                <c:pt idx="83">
                  <c:v>8.4981113224803367E-2</c:v>
                </c:pt>
                <c:pt idx="84">
                  <c:v>6.7183590884528549E-2</c:v>
                </c:pt>
                <c:pt idx="85">
                  <c:v>5.2584901480705507E-2</c:v>
                </c:pt>
                <c:pt idx="86">
                  <c:v>4.0748907701056748E-2</c:v>
                </c:pt>
                <c:pt idx="87">
                  <c:v>3.1262804443267705E-2</c:v>
                </c:pt>
                <c:pt idx="88">
                  <c:v>2.3746354748939817E-2</c:v>
                </c:pt>
                <c:pt idx="89">
                  <c:v>1.7857597259327496E-2</c:v>
                </c:pt>
                <c:pt idx="90">
                  <c:v>1.3295545235813975E-2</c:v>
                </c:pt>
                <c:pt idx="91">
                  <c:v>9.800457168599723E-3</c:v>
                </c:pt>
                <c:pt idx="92">
                  <c:v>7.1522646043944956E-3</c:v>
                </c:pt>
                <c:pt idx="93">
                  <c:v>5.1677068171610118E-3</c:v>
                </c:pt>
                <c:pt idx="94">
                  <c:v>3.6966575054190364E-3</c:v>
                </c:pt>
                <c:pt idx="95">
                  <c:v>2.6180480851372644E-3</c:v>
                </c:pt>
                <c:pt idx="96">
                  <c:v>1.8357057903413043E-3</c:v>
                </c:pt>
                <c:pt idx="97">
                  <c:v>1.2743408116522464E-3</c:v>
                </c:pt>
                <c:pt idx="98">
                  <c:v>8.7584077737437387E-4</c:v>
                </c:pt>
                <c:pt idx="99">
                  <c:v>5.9596641417831281E-4</c:v>
                </c:pt>
                <c:pt idx="100">
                  <c:v>4.0149067729465326E-4</c:v>
                </c:pt>
                <c:pt idx="101">
                  <c:v>2.6778497153139691E-4</c:v>
                </c:pt>
                <c:pt idx="102">
                  <c:v>1.7682920326961895E-4</c:v>
                </c:pt>
                <c:pt idx="103">
                  <c:v>1.1560559022626099E-4</c:v>
                </c:pt>
                <c:pt idx="104">
                  <c:v>7.4827413870160603E-5</c:v>
                </c:pt>
                <c:pt idx="105">
                  <c:v>4.7951223320716427E-5</c:v>
                </c:pt>
                <c:pt idx="106">
                  <c:v>3.0422556196460278E-5</c:v>
                </c:pt>
                <c:pt idx="107">
                  <c:v>1.9109475536601371E-5</c:v>
                </c:pt>
                <c:pt idx="108">
                  <c:v>1.188389727309629E-5</c:v>
                </c:pt>
                <c:pt idx="109">
                  <c:v>7.3168822376801217E-6</c:v>
                </c:pt>
                <c:pt idx="110">
                  <c:v>4.4601585442029335E-6</c:v>
                </c:pt>
                <c:pt idx="111">
                  <c:v>2.6917305487150299E-6</c:v>
                </c:pt>
                <c:pt idx="112">
                  <c:v>1.6083106034093072E-6</c:v>
                </c:pt>
                <c:pt idx="113">
                  <c:v>9.5140476501480617E-7</c:v>
                </c:pt>
                <c:pt idx="114">
                  <c:v>5.5720855336659781E-7</c:v>
                </c:pt>
                <c:pt idx="115">
                  <c:v>3.2309280127630465E-7</c:v>
                </c:pt>
                <c:pt idx="116">
                  <c:v>1.8547861500497933E-7</c:v>
                </c:pt>
                <c:pt idx="117">
                  <c:v>1.0541865284461564E-7</c:v>
                </c:pt>
                <c:pt idx="118">
                  <c:v>5.9319589218735706E-8</c:v>
                </c:pt>
                <c:pt idx="119">
                  <c:v>3.3047290874047982E-8</c:v>
                </c:pt>
                <c:pt idx="120">
                  <c:v>1.8227648549470441E-8</c:v>
                </c:pt>
                <c:pt idx="121">
                  <c:v>9.9536527306422336E-9</c:v>
                </c:pt>
                <c:pt idx="122">
                  <c:v>5.3813517238924494E-9</c:v>
                </c:pt>
                <c:pt idx="123">
                  <c:v>2.8804300110938132E-9</c:v>
                </c:pt>
                <c:pt idx="124">
                  <c:v>1.5264420844935823E-9</c:v>
                </c:pt>
                <c:pt idx="125">
                  <c:v>8.0086698442889264E-10</c:v>
                </c:pt>
                <c:pt idx="126">
                  <c:v>4.1600399824961437E-10</c:v>
                </c:pt>
                <c:pt idx="127">
                  <c:v>2.1393984371989369E-10</c:v>
                </c:pt>
                <c:pt idx="128">
                  <c:v>1.0892884505375983E-10</c:v>
                </c:pt>
                <c:pt idx="129">
                  <c:v>5.4909966510470463E-11</c:v>
                </c:pt>
                <c:pt idx="130">
                  <c:v>2.7404161225095537E-11</c:v>
                </c:pt>
                <c:pt idx="131">
                  <c:v>1.354063103161742E-11</c:v>
                </c:pt>
                <c:pt idx="132">
                  <c:v>6.6239698894118891E-12</c:v>
                </c:pt>
                <c:pt idx="133">
                  <c:v>3.2081513614627197E-12</c:v>
                </c:pt>
                <c:pt idx="134">
                  <c:v>1.538326091039119E-12</c:v>
                </c:pt>
                <c:pt idx="135">
                  <c:v>7.3029615990876013E-13</c:v>
                </c:pt>
                <c:pt idx="136">
                  <c:v>3.4324694705406913E-13</c:v>
                </c:pt>
                <c:pt idx="137">
                  <c:v>1.5972445116760307E-13</c:v>
                </c:pt>
                <c:pt idx="138">
                  <c:v>7.3585658570899512E-14</c:v>
                </c:pt>
                <c:pt idx="139">
                  <c:v>3.3563868643058668E-14</c:v>
                </c:pt>
                <c:pt idx="140">
                  <c:v>1.5156813250612187E-14</c:v>
                </c:pt>
                <c:pt idx="141">
                  <c:v>6.776428209463632E-15</c:v>
                </c:pt>
                <c:pt idx="142">
                  <c:v>2.9995136245494735E-15</c:v>
                </c:pt>
                <c:pt idx="143">
                  <c:v>1.3144918306529568E-15</c:v>
                </c:pt>
                <c:pt idx="144">
                  <c:v>5.7032446137245808E-16</c:v>
                </c:pt>
                <c:pt idx="145">
                  <c:v>2.4498706895011611E-16</c:v>
                </c:pt>
                <c:pt idx="146">
                  <c:v>1.0418888245699882E-16</c:v>
                </c:pt>
                <c:pt idx="147">
                  <c:v>4.3868890725025043E-17</c:v>
                </c:pt>
                <c:pt idx="148">
                  <c:v>1.8287274388689853E-17</c:v>
                </c:pt>
                <c:pt idx="149">
                  <c:v>7.5474173308552861E-18</c:v>
                </c:pt>
                <c:pt idx="150">
                  <c:v>3.0839320715011129E-18</c:v>
                </c:pt>
                <c:pt idx="151">
                  <c:v>1.2475796937347254E-18</c:v>
                </c:pt>
                <c:pt idx="152">
                  <c:v>4.9967640971405323E-19</c:v>
                </c:pt>
                <c:pt idx="153">
                  <c:v>1.9813739582221165E-19</c:v>
                </c:pt>
                <c:pt idx="154">
                  <c:v>7.7785941033024388E-20</c:v>
                </c:pt>
                <c:pt idx="155">
                  <c:v>3.023380618290519E-20</c:v>
                </c:pt>
                <c:pt idx="156">
                  <c:v>1.1634335795242867E-20</c:v>
                </c:pt>
                <c:pt idx="157">
                  <c:v>4.4324864781135512E-21</c:v>
                </c:pt>
                <c:pt idx="158">
                  <c:v>1.671900006816528E-21</c:v>
                </c:pt>
                <c:pt idx="159">
                  <c:v>6.2435304606096715E-22</c:v>
                </c:pt>
                <c:pt idx="160">
                  <c:v>2.3083795880123851E-22</c:v>
                </c:pt>
                <c:pt idx="161">
                  <c:v>8.4496996328304083E-23</c:v>
                </c:pt>
                <c:pt idx="162">
                  <c:v>3.0621916782924617E-23</c:v>
                </c:pt>
                <c:pt idx="163">
                  <c:v>1.0987035505668555E-23</c:v>
                </c:pt>
                <c:pt idx="164">
                  <c:v>3.902884859772599E-24</c:v>
                </c:pt>
                <c:pt idx="165">
                  <c:v>1.3726126771565537E-24</c:v>
                </c:pt>
                <c:pt idx="166">
                  <c:v>4.779333398103987E-25</c:v>
                </c:pt>
                <c:pt idx="167">
                  <c:v>1.6475693495457314E-25</c:v>
                </c:pt>
                <c:pt idx="168">
                  <c:v>5.6231172070267876E-26</c:v>
                </c:pt>
                <c:pt idx="169">
                  <c:v>1.9000613465496542E-26</c:v>
                </c:pt>
                <c:pt idx="170">
                  <c:v>6.3564577605296878E-27</c:v>
                </c:pt>
                <c:pt idx="171">
                  <c:v>2.1053279827989311E-27</c:v>
                </c:pt>
                <c:pt idx="172">
                  <c:v>6.9036921265462324E-28</c:v>
                </c:pt>
                <c:pt idx="173">
                  <c:v>2.2413006827656623E-28</c:v>
                </c:pt>
                <c:pt idx="174">
                  <c:v>7.2040362000276551E-29</c:v>
                </c:pt>
                <c:pt idx="175">
                  <c:v>2.2924966234768129E-29</c:v>
                </c:pt>
                <c:pt idx="176">
                  <c:v>7.222683395520059E-30</c:v>
                </c:pt>
                <c:pt idx="177">
                  <c:v>2.2529186317496307E-30</c:v>
                </c:pt>
                <c:pt idx="178">
                  <c:v>6.9574403317705269E-31</c:v>
                </c:pt>
                <c:pt idx="179">
                  <c:v>2.1272108005290832E-31</c:v>
                </c:pt>
                <c:pt idx="180">
                  <c:v>6.439151206991195E-32</c:v>
                </c:pt>
                <c:pt idx="181">
                  <c:v>1.9297621003913553E-32</c:v>
                </c:pt>
                <c:pt idx="182">
                  <c:v>5.7257974039123214E-33</c:v>
                </c:pt>
                <c:pt idx="183">
                  <c:v>1.6819970778917473E-33</c:v>
                </c:pt>
                <c:pt idx="184">
                  <c:v>4.8918322045206737E-34</c:v>
                </c:pt>
                <c:pt idx="185">
                  <c:v>1.4085586073930445E-34</c:v>
                </c:pt>
                <c:pt idx="186">
                  <c:v>4.0154603977642906E-35</c:v>
                </c:pt>
                <c:pt idx="187">
                  <c:v>1.1333207163451546E-35</c:v>
                </c:pt>
                <c:pt idx="188">
                  <c:v>3.1668490507370817E-36</c:v>
                </c:pt>
                <c:pt idx="189">
                  <c:v>8.7611063816077766E-37</c:v>
                </c:pt>
                <c:pt idx="190">
                  <c:v>2.3996483271029986E-37</c:v>
                </c:pt>
                <c:pt idx="191">
                  <c:v>6.5071872007845775E-38</c:v>
                </c:pt>
                <c:pt idx="192">
                  <c:v>1.7470126799216658E-38</c:v>
                </c:pt>
                <c:pt idx="193">
                  <c:v>4.6436113988905988E-39</c:v>
                </c:pt>
                <c:pt idx="194">
                  <c:v>1.2220043032588746E-39</c:v>
                </c:pt>
                <c:pt idx="195">
                  <c:v>3.1838064417470058E-40</c:v>
                </c:pt>
                <c:pt idx="196">
                  <c:v>8.2125425770694276E-41</c:v>
                </c:pt>
                <c:pt idx="197">
                  <c:v>2.0973246749128706E-41</c:v>
                </c:pt>
                <c:pt idx="198">
                  <c:v>5.3028672307629909E-42</c:v>
                </c:pt>
                <c:pt idx="199">
                  <c:v>1.3274338749954727E-42</c:v>
                </c:pt>
                <c:pt idx="200">
                  <c:v>3.2898196781684569E-43</c:v>
                </c:pt>
              </c:numCache>
            </c:numRef>
          </c:yVal>
          <c:smooth val="1"/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task1!$A$2:$A$202</c:f>
              <c:numCache>
                <c:formatCode>General</c:formatCode>
                <c:ptCount val="201"/>
                <c:pt idx="0">
                  <c:v>-6</c:v>
                </c:pt>
                <c:pt idx="1">
                  <c:v>-5.9</c:v>
                </c:pt>
                <c:pt idx="2">
                  <c:v>-5.8000000000000007</c:v>
                </c:pt>
                <c:pt idx="3">
                  <c:v>-5.7000000000000011</c:v>
                </c:pt>
                <c:pt idx="4">
                  <c:v>-5.6000000000000014</c:v>
                </c:pt>
                <c:pt idx="5">
                  <c:v>-5.5000000000000018</c:v>
                </c:pt>
                <c:pt idx="6">
                  <c:v>-5.4000000000000021</c:v>
                </c:pt>
                <c:pt idx="7">
                  <c:v>-5.3000000000000025</c:v>
                </c:pt>
                <c:pt idx="8">
                  <c:v>-5.2000000000000028</c:v>
                </c:pt>
                <c:pt idx="9">
                  <c:v>-5.1000000000000032</c:v>
                </c:pt>
                <c:pt idx="10">
                  <c:v>-5.0000000000000036</c:v>
                </c:pt>
                <c:pt idx="11">
                  <c:v>-4.9000000000000039</c:v>
                </c:pt>
                <c:pt idx="12">
                  <c:v>-4.8000000000000043</c:v>
                </c:pt>
                <c:pt idx="13">
                  <c:v>-4.7000000000000046</c:v>
                </c:pt>
                <c:pt idx="14">
                  <c:v>-4.600000000000005</c:v>
                </c:pt>
                <c:pt idx="15">
                  <c:v>-4.5000000000000053</c:v>
                </c:pt>
                <c:pt idx="16">
                  <c:v>-4.4000000000000057</c:v>
                </c:pt>
                <c:pt idx="17">
                  <c:v>-4.300000000000006</c:v>
                </c:pt>
                <c:pt idx="18">
                  <c:v>-4.2000000000000064</c:v>
                </c:pt>
                <c:pt idx="19">
                  <c:v>-4.1000000000000068</c:v>
                </c:pt>
                <c:pt idx="20">
                  <c:v>-4.0000000000000071</c:v>
                </c:pt>
                <c:pt idx="21">
                  <c:v>-3.900000000000007</c:v>
                </c:pt>
                <c:pt idx="22">
                  <c:v>-3.8000000000000069</c:v>
                </c:pt>
                <c:pt idx="23">
                  <c:v>-3.7000000000000068</c:v>
                </c:pt>
                <c:pt idx="24">
                  <c:v>-3.6000000000000068</c:v>
                </c:pt>
                <c:pt idx="25">
                  <c:v>-3.5000000000000067</c:v>
                </c:pt>
                <c:pt idx="26">
                  <c:v>-3.4000000000000066</c:v>
                </c:pt>
                <c:pt idx="27">
                  <c:v>-3.3000000000000065</c:v>
                </c:pt>
                <c:pt idx="28">
                  <c:v>-3.2000000000000064</c:v>
                </c:pt>
                <c:pt idx="29">
                  <c:v>-3.1000000000000063</c:v>
                </c:pt>
                <c:pt idx="30">
                  <c:v>-3.0000000000000062</c:v>
                </c:pt>
                <c:pt idx="31">
                  <c:v>-2.9000000000000061</c:v>
                </c:pt>
                <c:pt idx="32">
                  <c:v>-2.800000000000006</c:v>
                </c:pt>
                <c:pt idx="33">
                  <c:v>-2.700000000000006</c:v>
                </c:pt>
                <c:pt idx="34">
                  <c:v>-2.6000000000000059</c:v>
                </c:pt>
                <c:pt idx="35">
                  <c:v>-2.5000000000000058</c:v>
                </c:pt>
                <c:pt idx="36">
                  <c:v>-2.4000000000000057</c:v>
                </c:pt>
                <c:pt idx="37">
                  <c:v>-2.3000000000000056</c:v>
                </c:pt>
                <c:pt idx="38">
                  <c:v>-2.2000000000000055</c:v>
                </c:pt>
                <c:pt idx="39">
                  <c:v>-2.1000000000000054</c:v>
                </c:pt>
                <c:pt idx="40">
                  <c:v>-2.0000000000000053</c:v>
                </c:pt>
                <c:pt idx="41">
                  <c:v>-1.9000000000000052</c:v>
                </c:pt>
                <c:pt idx="42">
                  <c:v>-1.8000000000000052</c:v>
                </c:pt>
                <c:pt idx="43">
                  <c:v>-1.7000000000000051</c:v>
                </c:pt>
                <c:pt idx="44">
                  <c:v>-1.600000000000005</c:v>
                </c:pt>
                <c:pt idx="45">
                  <c:v>-1.5000000000000049</c:v>
                </c:pt>
                <c:pt idx="46">
                  <c:v>-1.4000000000000048</c:v>
                </c:pt>
                <c:pt idx="47">
                  <c:v>-1.3000000000000047</c:v>
                </c:pt>
                <c:pt idx="48">
                  <c:v>-1.2000000000000046</c:v>
                </c:pt>
                <c:pt idx="49">
                  <c:v>-1.1000000000000045</c:v>
                </c:pt>
                <c:pt idx="50">
                  <c:v>-1.0000000000000044</c:v>
                </c:pt>
                <c:pt idx="51">
                  <c:v>-0.90000000000000446</c:v>
                </c:pt>
                <c:pt idx="52">
                  <c:v>-0.80000000000000449</c:v>
                </c:pt>
                <c:pt idx="53">
                  <c:v>-0.70000000000000451</c:v>
                </c:pt>
                <c:pt idx="54">
                  <c:v>-0.60000000000000453</c:v>
                </c:pt>
                <c:pt idx="55">
                  <c:v>-0.50000000000000455</c:v>
                </c:pt>
                <c:pt idx="56">
                  <c:v>-0.40000000000000457</c:v>
                </c:pt>
                <c:pt idx="57">
                  <c:v>-0.3000000000000046</c:v>
                </c:pt>
                <c:pt idx="58">
                  <c:v>-0.20000000000000459</c:v>
                </c:pt>
                <c:pt idx="59">
                  <c:v>-0.10000000000000459</c:v>
                </c:pt>
                <c:pt idx="60">
                  <c:v>0</c:v>
                </c:pt>
                <c:pt idx="61">
                  <c:v>0.1</c:v>
                </c:pt>
                <c:pt idx="62">
                  <c:v>0.2</c:v>
                </c:pt>
                <c:pt idx="63">
                  <c:v>0.30000000000000004</c:v>
                </c:pt>
                <c:pt idx="64">
                  <c:v>0.4</c:v>
                </c:pt>
                <c:pt idx="65">
                  <c:v>0.5</c:v>
                </c:pt>
                <c:pt idx="66">
                  <c:v>0.6</c:v>
                </c:pt>
                <c:pt idx="67">
                  <c:v>0.7</c:v>
                </c:pt>
                <c:pt idx="68">
                  <c:v>0.79999999999999993</c:v>
                </c:pt>
                <c:pt idx="69">
                  <c:v>0.89999999999999991</c:v>
                </c:pt>
                <c:pt idx="70">
                  <c:v>0.99999999999999989</c:v>
                </c:pt>
                <c:pt idx="71">
                  <c:v>1.0999999999999999</c:v>
                </c:pt>
                <c:pt idx="72">
                  <c:v>1.2</c:v>
                </c:pt>
                <c:pt idx="73">
                  <c:v>1.3</c:v>
                </c:pt>
                <c:pt idx="74">
                  <c:v>1.4000000000000001</c:v>
                </c:pt>
                <c:pt idx="75">
                  <c:v>1.5000000000000002</c:v>
                </c:pt>
                <c:pt idx="76">
                  <c:v>1.6000000000000003</c:v>
                </c:pt>
                <c:pt idx="77">
                  <c:v>1.7000000000000004</c:v>
                </c:pt>
                <c:pt idx="78">
                  <c:v>1.8000000000000005</c:v>
                </c:pt>
                <c:pt idx="79">
                  <c:v>1.9000000000000006</c:v>
                </c:pt>
                <c:pt idx="80">
                  <c:v>2.0000000000000004</c:v>
                </c:pt>
                <c:pt idx="81">
                  <c:v>2.1000000000000005</c:v>
                </c:pt>
                <c:pt idx="82">
                  <c:v>2.2000000000000006</c:v>
                </c:pt>
                <c:pt idx="83">
                  <c:v>2.3000000000000007</c:v>
                </c:pt>
                <c:pt idx="84">
                  <c:v>2.4000000000000008</c:v>
                </c:pt>
                <c:pt idx="85">
                  <c:v>2.5000000000000009</c:v>
                </c:pt>
                <c:pt idx="86">
                  <c:v>2.600000000000001</c:v>
                </c:pt>
                <c:pt idx="87">
                  <c:v>2.7000000000000011</c:v>
                </c:pt>
                <c:pt idx="88">
                  <c:v>2.8000000000000012</c:v>
                </c:pt>
                <c:pt idx="89">
                  <c:v>2.9000000000000012</c:v>
                </c:pt>
                <c:pt idx="90">
                  <c:v>3.0000000000000013</c:v>
                </c:pt>
                <c:pt idx="91">
                  <c:v>3.1000000000000014</c:v>
                </c:pt>
                <c:pt idx="92">
                  <c:v>3.2000000000000015</c:v>
                </c:pt>
                <c:pt idx="93">
                  <c:v>3.3000000000000016</c:v>
                </c:pt>
                <c:pt idx="94">
                  <c:v>3.4000000000000017</c:v>
                </c:pt>
                <c:pt idx="95">
                  <c:v>3.5000000000000018</c:v>
                </c:pt>
                <c:pt idx="96">
                  <c:v>3.6000000000000019</c:v>
                </c:pt>
                <c:pt idx="97">
                  <c:v>3.700000000000002</c:v>
                </c:pt>
                <c:pt idx="98">
                  <c:v>3.800000000000002</c:v>
                </c:pt>
                <c:pt idx="99">
                  <c:v>3.9000000000000021</c:v>
                </c:pt>
                <c:pt idx="100">
                  <c:v>4.0000000000000018</c:v>
                </c:pt>
                <c:pt idx="101">
                  <c:v>4.1000000000000014</c:v>
                </c:pt>
                <c:pt idx="102">
                  <c:v>4.2000000000000011</c:v>
                </c:pt>
                <c:pt idx="103">
                  <c:v>4.3000000000000007</c:v>
                </c:pt>
                <c:pt idx="104">
                  <c:v>4.4000000000000004</c:v>
                </c:pt>
                <c:pt idx="105">
                  <c:v>4.5</c:v>
                </c:pt>
                <c:pt idx="106">
                  <c:v>4.5999999999999996</c:v>
                </c:pt>
                <c:pt idx="107">
                  <c:v>4.6999999999999993</c:v>
                </c:pt>
                <c:pt idx="108">
                  <c:v>4.7999999999999989</c:v>
                </c:pt>
                <c:pt idx="109">
                  <c:v>4.8999999999999986</c:v>
                </c:pt>
                <c:pt idx="110">
                  <c:v>4.9999999999999982</c:v>
                </c:pt>
                <c:pt idx="111">
                  <c:v>5.0999999999999979</c:v>
                </c:pt>
                <c:pt idx="112">
                  <c:v>5.1999999999999975</c:v>
                </c:pt>
                <c:pt idx="113">
                  <c:v>5.2999999999999972</c:v>
                </c:pt>
                <c:pt idx="114">
                  <c:v>5.3999999999999968</c:v>
                </c:pt>
                <c:pt idx="115">
                  <c:v>5.4999999999999964</c:v>
                </c:pt>
                <c:pt idx="116">
                  <c:v>5.5999999999999961</c:v>
                </c:pt>
                <c:pt idx="117">
                  <c:v>5.6999999999999957</c:v>
                </c:pt>
                <c:pt idx="118">
                  <c:v>5.7999999999999954</c:v>
                </c:pt>
                <c:pt idx="119">
                  <c:v>5.899999999999995</c:v>
                </c:pt>
                <c:pt idx="120">
                  <c:v>5.9999999999999947</c:v>
                </c:pt>
                <c:pt idx="121">
                  <c:v>6.0999999999999943</c:v>
                </c:pt>
                <c:pt idx="122">
                  <c:v>6.199999999999994</c:v>
                </c:pt>
                <c:pt idx="123">
                  <c:v>6.2999999999999936</c:v>
                </c:pt>
                <c:pt idx="124">
                  <c:v>6.3999999999999932</c:v>
                </c:pt>
                <c:pt idx="125">
                  <c:v>6.4999999999999929</c:v>
                </c:pt>
                <c:pt idx="126">
                  <c:v>6.5999999999999925</c:v>
                </c:pt>
                <c:pt idx="127">
                  <c:v>6.6999999999999922</c:v>
                </c:pt>
                <c:pt idx="128">
                  <c:v>6.7999999999999918</c:v>
                </c:pt>
                <c:pt idx="129">
                  <c:v>6.8999999999999915</c:v>
                </c:pt>
                <c:pt idx="130">
                  <c:v>6.9999999999999911</c:v>
                </c:pt>
                <c:pt idx="131">
                  <c:v>7.0999999999999908</c:v>
                </c:pt>
                <c:pt idx="132">
                  <c:v>7.1999999999999904</c:v>
                </c:pt>
                <c:pt idx="133">
                  <c:v>7.2999999999999901</c:v>
                </c:pt>
                <c:pt idx="134">
                  <c:v>7.3999999999999897</c:v>
                </c:pt>
                <c:pt idx="135">
                  <c:v>7.4999999999999893</c:v>
                </c:pt>
                <c:pt idx="136">
                  <c:v>7.599999999999989</c:v>
                </c:pt>
                <c:pt idx="137">
                  <c:v>7.6999999999999886</c:v>
                </c:pt>
                <c:pt idx="138">
                  <c:v>7.7999999999999883</c:v>
                </c:pt>
                <c:pt idx="139">
                  <c:v>7.8999999999999879</c:v>
                </c:pt>
                <c:pt idx="140">
                  <c:v>7.9999999999999876</c:v>
                </c:pt>
                <c:pt idx="141">
                  <c:v>8.0999999999999872</c:v>
                </c:pt>
                <c:pt idx="142">
                  <c:v>8.1999999999999869</c:v>
                </c:pt>
                <c:pt idx="143">
                  <c:v>8.2999999999999865</c:v>
                </c:pt>
                <c:pt idx="144">
                  <c:v>8.3999999999999861</c:v>
                </c:pt>
                <c:pt idx="145">
                  <c:v>8.4999999999999858</c:v>
                </c:pt>
                <c:pt idx="146">
                  <c:v>8.5999999999999854</c:v>
                </c:pt>
                <c:pt idx="147">
                  <c:v>8.6999999999999851</c:v>
                </c:pt>
                <c:pt idx="148">
                  <c:v>8.7999999999999847</c:v>
                </c:pt>
                <c:pt idx="149">
                  <c:v>8.8999999999999844</c:v>
                </c:pt>
                <c:pt idx="150">
                  <c:v>8.999999999999984</c:v>
                </c:pt>
                <c:pt idx="151">
                  <c:v>9.0999999999999837</c:v>
                </c:pt>
                <c:pt idx="152">
                  <c:v>9.1999999999999833</c:v>
                </c:pt>
                <c:pt idx="153">
                  <c:v>9.2999999999999829</c:v>
                </c:pt>
                <c:pt idx="154">
                  <c:v>9.3999999999999826</c:v>
                </c:pt>
                <c:pt idx="155">
                  <c:v>9.4999999999999822</c:v>
                </c:pt>
                <c:pt idx="156">
                  <c:v>9.5999999999999819</c:v>
                </c:pt>
                <c:pt idx="157">
                  <c:v>9.6999999999999815</c:v>
                </c:pt>
                <c:pt idx="158">
                  <c:v>9.7999999999999812</c:v>
                </c:pt>
                <c:pt idx="159">
                  <c:v>9.8999999999999808</c:v>
                </c:pt>
                <c:pt idx="160">
                  <c:v>9.9999999999999805</c:v>
                </c:pt>
                <c:pt idx="161">
                  <c:v>10.09999999999998</c:v>
                </c:pt>
                <c:pt idx="162">
                  <c:v>10.19999999999998</c:v>
                </c:pt>
                <c:pt idx="163">
                  <c:v>10.299999999999979</c:v>
                </c:pt>
                <c:pt idx="164">
                  <c:v>10.399999999999979</c:v>
                </c:pt>
                <c:pt idx="165">
                  <c:v>10.499999999999979</c:v>
                </c:pt>
                <c:pt idx="166">
                  <c:v>10.599999999999978</c:v>
                </c:pt>
                <c:pt idx="167">
                  <c:v>10.699999999999978</c:v>
                </c:pt>
                <c:pt idx="168">
                  <c:v>10.799999999999978</c:v>
                </c:pt>
                <c:pt idx="169">
                  <c:v>10.899999999999977</c:v>
                </c:pt>
                <c:pt idx="170">
                  <c:v>10.999999999999977</c:v>
                </c:pt>
                <c:pt idx="171">
                  <c:v>11.099999999999977</c:v>
                </c:pt>
                <c:pt idx="172">
                  <c:v>11.199999999999976</c:v>
                </c:pt>
                <c:pt idx="173">
                  <c:v>11.299999999999976</c:v>
                </c:pt>
                <c:pt idx="174">
                  <c:v>11.399999999999975</c:v>
                </c:pt>
                <c:pt idx="175">
                  <c:v>11.499999999999975</c:v>
                </c:pt>
                <c:pt idx="176">
                  <c:v>11.599999999999975</c:v>
                </c:pt>
                <c:pt idx="177">
                  <c:v>11.699999999999974</c:v>
                </c:pt>
                <c:pt idx="178">
                  <c:v>11.799999999999974</c:v>
                </c:pt>
                <c:pt idx="179">
                  <c:v>11.899999999999974</c:v>
                </c:pt>
                <c:pt idx="180">
                  <c:v>11.999999999999973</c:v>
                </c:pt>
                <c:pt idx="181">
                  <c:v>12.099999999999973</c:v>
                </c:pt>
                <c:pt idx="182">
                  <c:v>12.199999999999973</c:v>
                </c:pt>
                <c:pt idx="183">
                  <c:v>12.299999999999972</c:v>
                </c:pt>
                <c:pt idx="184">
                  <c:v>12.399999999999972</c:v>
                </c:pt>
                <c:pt idx="185">
                  <c:v>12.499999999999972</c:v>
                </c:pt>
                <c:pt idx="186">
                  <c:v>12.599999999999971</c:v>
                </c:pt>
                <c:pt idx="187">
                  <c:v>12.699999999999971</c:v>
                </c:pt>
                <c:pt idx="188">
                  <c:v>12.799999999999971</c:v>
                </c:pt>
                <c:pt idx="189">
                  <c:v>12.89999999999997</c:v>
                </c:pt>
                <c:pt idx="190">
                  <c:v>12.99999999999997</c:v>
                </c:pt>
                <c:pt idx="191">
                  <c:v>13.099999999999969</c:v>
                </c:pt>
                <c:pt idx="192">
                  <c:v>13.199999999999969</c:v>
                </c:pt>
                <c:pt idx="193">
                  <c:v>13.299999999999969</c:v>
                </c:pt>
                <c:pt idx="194">
                  <c:v>13.399999999999968</c:v>
                </c:pt>
                <c:pt idx="195">
                  <c:v>13.499999999999968</c:v>
                </c:pt>
                <c:pt idx="196">
                  <c:v>13.599999999999968</c:v>
                </c:pt>
                <c:pt idx="197">
                  <c:v>13.699999999999967</c:v>
                </c:pt>
                <c:pt idx="198">
                  <c:v>13.799999999999967</c:v>
                </c:pt>
                <c:pt idx="199">
                  <c:v>13.899999999999967</c:v>
                </c:pt>
                <c:pt idx="200">
                  <c:v>13.999999999999966</c:v>
                </c:pt>
              </c:numCache>
            </c:numRef>
          </c:xVal>
          <c:yVal>
            <c:numRef>
              <c:f>task1!$C$2:$C$202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0.90483741803595952</c:v>
                </c:pt>
                <c:pt idx="62">
                  <c:v>0.81873075307798182</c:v>
                </c:pt>
                <c:pt idx="63">
                  <c:v>0.74081822068171788</c:v>
                </c:pt>
                <c:pt idx="64">
                  <c:v>0.67032004603563933</c:v>
                </c:pt>
                <c:pt idx="65">
                  <c:v>0.60653065971263342</c:v>
                </c:pt>
                <c:pt idx="66">
                  <c:v>0.54881163609402639</c:v>
                </c:pt>
                <c:pt idx="67">
                  <c:v>0.49658530379140953</c:v>
                </c:pt>
                <c:pt idx="68">
                  <c:v>0.44932896411722162</c:v>
                </c:pt>
                <c:pt idx="69">
                  <c:v>0.40656965974059917</c:v>
                </c:pt>
                <c:pt idx="70">
                  <c:v>0.36787944117144239</c:v>
                </c:pt>
                <c:pt idx="71">
                  <c:v>0.33287108369807961</c:v>
                </c:pt>
                <c:pt idx="72">
                  <c:v>0.30119421191220214</c:v>
                </c:pt>
                <c:pt idx="73">
                  <c:v>0.27253179303401259</c:v>
                </c:pt>
                <c:pt idx="74">
                  <c:v>0.24659696394160643</c:v>
                </c:pt>
                <c:pt idx="75">
                  <c:v>0.22313016014842979</c:v>
                </c:pt>
                <c:pt idx="76">
                  <c:v>0.20189651799465536</c:v>
                </c:pt>
                <c:pt idx="77">
                  <c:v>0.18268352405273458</c:v>
                </c:pt>
                <c:pt idx="78">
                  <c:v>0.16529888822158645</c:v>
                </c:pt>
                <c:pt idx="79">
                  <c:v>0.14956861922263498</c:v>
                </c:pt>
                <c:pt idx="80">
                  <c:v>0.13533528323661262</c:v>
                </c:pt>
                <c:pt idx="81">
                  <c:v>0.12245642825298185</c:v>
                </c:pt>
                <c:pt idx="82">
                  <c:v>0.11080315836233381</c:v>
                </c:pt>
                <c:pt idx="83">
                  <c:v>0.10025884372280366</c:v>
                </c:pt>
                <c:pt idx="84">
                  <c:v>9.0717953289412429E-2</c:v>
                </c:pt>
                <c:pt idx="85">
                  <c:v>8.2084998623898717E-2</c:v>
                </c:pt>
                <c:pt idx="86">
                  <c:v>7.4273578214333807E-2</c:v>
                </c:pt>
                <c:pt idx="87">
                  <c:v>6.7205512739749687E-2</c:v>
                </c:pt>
                <c:pt idx="88">
                  <c:v>6.0810062625217896E-2</c:v>
                </c:pt>
                <c:pt idx="89">
                  <c:v>5.5023220056407161E-2</c:v>
                </c:pt>
                <c:pt idx="90">
                  <c:v>4.9787068367863875E-2</c:v>
                </c:pt>
                <c:pt idx="91">
                  <c:v>4.5049202393557745E-2</c:v>
                </c:pt>
                <c:pt idx="92">
                  <c:v>4.0762203978366156E-2</c:v>
                </c:pt>
                <c:pt idx="93">
                  <c:v>3.6883167401239945E-2</c:v>
                </c:pt>
                <c:pt idx="94">
                  <c:v>3.3373269960326024E-2</c:v>
                </c:pt>
                <c:pt idx="95">
                  <c:v>3.0197383422318449E-2</c:v>
                </c:pt>
                <c:pt idx="96">
                  <c:v>2.732372244729251E-2</c:v>
                </c:pt>
                <c:pt idx="97">
                  <c:v>2.4723526470339343E-2</c:v>
                </c:pt>
                <c:pt idx="98">
                  <c:v>2.2370771856165549E-2</c:v>
                </c:pt>
                <c:pt idx="99">
                  <c:v>2.0241911445804346E-2</c:v>
                </c:pt>
                <c:pt idx="100">
                  <c:v>1.8315638888734147E-2</c:v>
                </c:pt>
                <c:pt idx="101">
                  <c:v>1.6572675401761224E-2</c:v>
                </c:pt>
                <c:pt idx="102">
                  <c:v>1.4995576820477691E-2</c:v>
                </c:pt>
                <c:pt idx="103">
                  <c:v>1.3568559012200922E-2</c:v>
                </c:pt>
                <c:pt idx="104">
                  <c:v>1.2277339903068436E-2</c:v>
                </c:pt>
                <c:pt idx="105">
                  <c:v>1.1108996538242306E-2</c:v>
                </c:pt>
                <c:pt idx="106">
                  <c:v>1.0051835744633586E-2</c:v>
                </c:pt>
                <c:pt idx="107">
                  <c:v>9.0952771016958242E-3</c:v>
                </c:pt>
                <c:pt idx="108">
                  <c:v>8.2297470490200371E-3</c:v>
                </c:pt>
                <c:pt idx="109">
                  <c:v>7.4465830709243511E-3</c:v>
                </c:pt>
                <c:pt idx="110">
                  <c:v>6.7379469990854791E-3</c:v>
                </c:pt>
                <c:pt idx="111">
                  <c:v>6.0967465655156492E-3</c:v>
                </c:pt>
                <c:pt idx="112">
                  <c:v>5.5165644207607863E-3</c:v>
                </c:pt>
                <c:pt idx="113">
                  <c:v>4.99159390691023E-3</c:v>
                </c:pt>
                <c:pt idx="114">
                  <c:v>4.5165809426126824E-3</c:v>
                </c:pt>
                <c:pt idx="115">
                  <c:v>4.0867714384640813E-3</c:v>
                </c:pt>
                <c:pt idx="116">
                  <c:v>3.6978637164829455E-3</c:v>
                </c:pt>
                <c:pt idx="117">
                  <c:v>3.3459654574712872E-3</c:v>
                </c:pt>
                <c:pt idx="118">
                  <c:v>3.0275547453758288E-3</c:v>
                </c:pt>
                <c:pt idx="119">
                  <c:v>2.7394448187683827E-3</c:v>
                </c:pt>
                <c:pt idx="120">
                  <c:v>2.4787521766663715E-3</c:v>
                </c:pt>
                <c:pt idx="121">
                  <c:v>2.2428677194858151E-3</c:v>
                </c:pt>
                <c:pt idx="122">
                  <c:v>2.0294306362957466E-3</c:v>
                </c:pt>
                <c:pt idx="123">
                  <c:v>1.8363047770289186E-3</c:v>
                </c:pt>
                <c:pt idx="124">
                  <c:v>1.6615572731739456E-3</c:v>
                </c:pt>
                <c:pt idx="125">
                  <c:v>1.5034391929775832E-3</c:v>
                </c:pt>
                <c:pt idx="126">
                  <c:v>1.3603680375479036E-3</c:v>
                </c:pt>
                <c:pt idx="127">
                  <c:v>1.2309119026734908E-3</c:v>
                </c:pt>
                <c:pt idx="128">
                  <c:v>1.1137751478448121E-3</c:v>
                </c:pt>
                <c:pt idx="129">
                  <c:v>1.0077854290485193E-3</c:v>
                </c:pt>
                <c:pt idx="130">
                  <c:v>9.1188196555452427E-4</c:v>
                </c:pt>
                <c:pt idx="131">
                  <c:v>8.2510492326591186E-4</c:v>
                </c:pt>
                <c:pt idx="132">
                  <c:v>7.4658580837668658E-4</c:v>
                </c:pt>
                <c:pt idx="133">
                  <c:v>6.75538775193851E-4</c:v>
                </c:pt>
                <c:pt idx="134">
                  <c:v>6.1125276112957881E-4</c:v>
                </c:pt>
                <c:pt idx="135">
                  <c:v>5.5308437014783948E-4</c:v>
                </c:pt>
                <c:pt idx="136">
                  <c:v>5.0045143344061625E-4</c:v>
                </c:pt>
                <c:pt idx="137">
                  <c:v>4.5282718288680221E-4</c:v>
                </c:pt>
                <c:pt idx="138">
                  <c:v>4.0973497897979152E-4</c:v>
                </c:pt>
                <c:pt idx="139">
                  <c:v>3.7074354045909283E-4</c:v>
                </c:pt>
                <c:pt idx="140">
                  <c:v>3.3546262790251603E-4</c:v>
                </c:pt>
                <c:pt idx="141">
                  <c:v>3.0353913807887052E-4</c:v>
                </c:pt>
                <c:pt idx="142">
                  <c:v>2.7465356997214595E-4</c:v>
                </c:pt>
                <c:pt idx="143">
                  <c:v>2.4851682710795537E-4</c:v>
                </c:pt>
                <c:pt idx="144">
                  <c:v>2.2486732417885139E-4</c:v>
                </c:pt>
                <c:pt idx="145">
                  <c:v>2.0346836901064707E-4</c:v>
                </c:pt>
                <c:pt idx="146">
                  <c:v>1.841057936675818E-4</c:v>
                </c:pt>
                <c:pt idx="147">
                  <c:v>1.665858109876359E-4</c:v>
                </c:pt>
                <c:pt idx="148">
                  <c:v>1.5073307509547892E-4</c:v>
                </c:pt>
                <c:pt idx="149">
                  <c:v>1.3638892648201357E-4</c:v>
                </c:pt>
                <c:pt idx="150">
                  <c:v>1.2340980408668151E-4</c:v>
                </c:pt>
                <c:pt idx="151">
                  <c:v>1.1166580849011657E-4</c:v>
                </c:pt>
                <c:pt idx="152">
                  <c:v>1.0103940183709503E-4</c:v>
                </c:pt>
                <c:pt idx="153">
                  <c:v>9.1424231478174896E-5</c:v>
                </c:pt>
                <c:pt idx="154">
                  <c:v>8.2724065556633706E-5</c:v>
                </c:pt>
                <c:pt idx="155">
                  <c:v>7.4851829887701926E-5</c:v>
                </c:pt>
                <c:pt idx="156">
                  <c:v>6.7728736490855104E-5</c:v>
                </c:pt>
                <c:pt idx="157">
                  <c:v>6.1283495053223231E-5</c:v>
                </c:pt>
                <c:pt idx="158">
                  <c:v>5.5451599432178023E-5</c:v>
                </c:pt>
                <c:pt idx="159">
                  <c:v>5.0174682056176265E-5</c:v>
                </c:pt>
                <c:pt idx="160">
                  <c:v>4.5399929762485742E-5</c:v>
                </c:pt>
                <c:pt idx="161">
                  <c:v>4.1079555225301524E-5</c:v>
                </c:pt>
                <c:pt idx="162">
                  <c:v>3.7170318684127459E-5</c:v>
                </c:pt>
                <c:pt idx="163">
                  <c:v>3.3633095185719686E-5</c:v>
                </c:pt>
                <c:pt idx="164">
                  <c:v>3.0432483008404275E-5</c:v>
                </c:pt>
                <c:pt idx="165">
                  <c:v>2.7536449349747744E-5</c:v>
                </c:pt>
                <c:pt idx="166">
                  <c:v>2.4916009731503736E-5</c:v>
                </c:pt>
                <c:pt idx="167">
                  <c:v>2.2544937913212691E-5</c:v>
                </c:pt>
                <c:pt idx="168">
                  <c:v>2.0399503411172393E-5</c:v>
                </c:pt>
                <c:pt idx="169">
                  <c:v>1.8458233995780985E-5</c:v>
                </c:pt>
                <c:pt idx="170">
                  <c:v>1.6701700790246046E-5</c:v>
                </c:pt>
                <c:pt idx="171">
                  <c:v>1.5112323819855382E-5</c:v>
                </c:pt>
                <c:pt idx="172">
                  <c:v>1.3674196065681279E-5</c:v>
                </c:pt>
                <c:pt idx="173">
                  <c:v>1.237292426178853E-5</c:v>
                </c:pt>
                <c:pt idx="174">
                  <c:v>1.1195484842591218E-5</c:v>
                </c:pt>
                <c:pt idx="175">
                  <c:v>1.0130093598630963E-5</c:v>
                </c:pt>
                <c:pt idx="176">
                  <c:v>9.1660877362478458E-6</c:v>
                </c:pt>
                <c:pt idx="177">
                  <c:v>8.2938191607575771E-6</c:v>
                </c:pt>
                <c:pt idx="178">
                  <c:v>7.504557915077058E-6</c:v>
                </c:pt>
                <c:pt idx="179">
                  <c:v>6.7904048073796516E-6</c:v>
                </c:pt>
                <c:pt idx="180">
                  <c:v>6.1442123533283733E-6</c:v>
                </c:pt>
                <c:pt idx="181">
                  <c:v>5.5595132416502942E-6</c:v>
                </c:pt>
                <c:pt idx="182">
                  <c:v>5.0304556071115821E-6</c:v>
                </c:pt>
                <c:pt idx="183">
                  <c:v>4.5517444630833608E-6</c:v>
                </c:pt>
                <c:pt idx="184">
                  <c:v>4.1185887075358251E-6</c:v>
                </c:pt>
                <c:pt idx="185">
                  <c:v>3.7266531720787768E-6</c:v>
                </c:pt>
                <c:pt idx="186">
                  <c:v>3.3720152341392802E-6</c:v>
                </c:pt>
                <c:pt idx="187">
                  <c:v>3.0511255580365093E-6</c:v>
                </c:pt>
                <c:pt idx="188">
                  <c:v>2.7607725720372821E-6</c:v>
                </c:pt>
                <c:pt idx="189">
                  <c:v>2.4980503258667103E-6</c:v>
                </c:pt>
                <c:pt idx="190">
                  <c:v>2.2603294069811224E-6</c:v>
                </c:pt>
                <c:pt idx="191">
                  <c:v>2.0452306245235515E-6</c:v>
                </c:pt>
                <c:pt idx="192">
                  <c:v>1.8506011975819638E-6</c:v>
                </c:pt>
                <c:pt idx="193">
                  <c:v>1.6744932094343196E-6</c:v>
                </c:pt>
                <c:pt idx="194">
                  <c:v>1.5151441121432975E-6</c:v>
                </c:pt>
                <c:pt idx="195">
                  <c:v>1.3709590863841283E-6</c:v>
                </c:pt>
                <c:pt idx="196">
                  <c:v>1.240495079956753E-6</c:v>
                </c:pt>
                <c:pt idx="197">
                  <c:v>1.1224463652343801E-6</c:v>
                </c:pt>
                <c:pt idx="198">
                  <c:v>1.0156314710025246E-6</c:v>
                </c:pt>
                <c:pt idx="199">
                  <c:v>9.1898135789798816E-7</c:v>
                </c:pt>
                <c:pt idx="200">
                  <c:v>8.3152871910359594E-7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572192"/>
        <c:axId val="156572576"/>
      </c:scatterChart>
      <c:valAx>
        <c:axId val="156572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572576"/>
        <c:crosses val="autoZero"/>
        <c:crossBetween val="midCat"/>
      </c:valAx>
      <c:valAx>
        <c:axId val="15657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572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task1!$M$1:$M$91</c:f>
              <c:numCache>
                <c:formatCode>General</c:formatCode>
                <c:ptCount val="91"/>
                <c:pt idx="0">
                  <c:v>-5</c:v>
                </c:pt>
                <c:pt idx="1">
                  <c:v>-4.9000000000000004</c:v>
                </c:pt>
                <c:pt idx="2">
                  <c:v>-4.8000000000000007</c:v>
                </c:pt>
                <c:pt idx="3">
                  <c:v>-4.7000000000000011</c:v>
                </c:pt>
                <c:pt idx="4">
                  <c:v>-4.6000000000000014</c:v>
                </c:pt>
                <c:pt idx="5">
                  <c:v>-4.5000000000000018</c:v>
                </c:pt>
                <c:pt idx="6">
                  <c:v>-4.4000000000000021</c:v>
                </c:pt>
                <c:pt idx="7">
                  <c:v>-4.3000000000000025</c:v>
                </c:pt>
                <c:pt idx="8">
                  <c:v>-4.2000000000000028</c:v>
                </c:pt>
                <c:pt idx="9">
                  <c:v>-4.1000000000000032</c:v>
                </c:pt>
                <c:pt idx="10">
                  <c:v>-4.0000000000000036</c:v>
                </c:pt>
                <c:pt idx="11">
                  <c:v>-3.9000000000000035</c:v>
                </c:pt>
                <c:pt idx="12">
                  <c:v>-3.8000000000000034</c:v>
                </c:pt>
                <c:pt idx="13">
                  <c:v>-3.7000000000000033</c:v>
                </c:pt>
                <c:pt idx="14">
                  <c:v>-3.6000000000000032</c:v>
                </c:pt>
                <c:pt idx="15">
                  <c:v>-3.5000000000000031</c:v>
                </c:pt>
                <c:pt idx="16">
                  <c:v>-3.400000000000003</c:v>
                </c:pt>
                <c:pt idx="17">
                  <c:v>-3.3000000000000029</c:v>
                </c:pt>
                <c:pt idx="18">
                  <c:v>-3.2000000000000028</c:v>
                </c:pt>
                <c:pt idx="19">
                  <c:v>-3.1000000000000028</c:v>
                </c:pt>
                <c:pt idx="20">
                  <c:v>-3.0000000000000027</c:v>
                </c:pt>
                <c:pt idx="21">
                  <c:v>-2.9000000000000026</c:v>
                </c:pt>
                <c:pt idx="22">
                  <c:v>-2.8000000000000025</c:v>
                </c:pt>
                <c:pt idx="23">
                  <c:v>-2.7000000000000024</c:v>
                </c:pt>
                <c:pt idx="24">
                  <c:v>-2.6000000000000023</c:v>
                </c:pt>
                <c:pt idx="25">
                  <c:v>-2.5000000000000022</c:v>
                </c:pt>
                <c:pt idx="26">
                  <c:v>-2.4000000000000021</c:v>
                </c:pt>
                <c:pt idx="27">
                  <c:v>-2.300000000000002</c:v>
                </c:pt>
                <c:pt idx="28">
                  <c:v>-2.200000000000002</c:v>
                </c:pt>
                <c:pt idx="29">
                  <c:v>-2.1000000000000019</c:v>
                </c:pt>
                <c:pt idx="30">
                  <c:v>-2.0000000000000018</c:v>
                </c:pt>
                <c:pt idx="31">
                  <c:v>-1.9000000000000017</c:v>
                </c:pt>
                <c:pt idx="32">
                  <c:v>-1.8000000000000016</c:v>
                </c:pt>
                <c:pt idx="33">
                  <c:v>-1.7000000000000015</c:v>
                </c:pt>
                <c:pt idx="34">
                  <c:v>-1.6000000000000014</c:v>
                </c:pt>
                <c:pt idx="35">
                  <c:v>-1.5000000000000013</c:v>
                </c:pt>
                <c:pt idx="36">
                  <c:v>-1.4000000000000012</c:v>
                </c:pt>
                <c:pt idx="37">
                  <c:v>-1.3000000000000012</c:v>
                </c:pt>
                <c:pt idx="38">
                  <c:v>-1.2000000000000011</c:v>
                </c:pt>
                <c:pt idx="39">
                  <c:v>-1.100000000000001</c:v>
                </c:pt>
                <c:pt idx="40">
                  <c:v>-1.0000000000000009</c:v>
                </c:pt>
                <c:pt idx="41">
                  <c:v>-0.90000000000000091</c:v>
                </c:pt>
                <c:pt idx="42">
                  <c:v>-0.80000000000000093</c:v>
                </c:pt>
                <c:pt idx="43">
                  <c:v>-0.70000000000000095</c:v>
                </c:pt>
                <c:pt idx="44">
                  <c:v>-0.60000000000000098</c:v>
                </c:pt>
                <c:pt idx="45">
                  <c:v>-0.500000000000001</c:v>
                </c:pt>
                <c:pt idx="46">
                  <c:v>-0.40000000000000102</c:v>
                </c:pt>
                <c:pt idx="47">
                  <c:v>-0.30000000000000104</c:v>
                </c:pt>
                <c:pt idx="48">
                  <c:v>-0.20000000000000104</c:v>
                </c:pt>
                <c:pt idx="49">
                  <c:v>-0.10000000000000103</c:v>
                </c:pt>
                <c:pt idx="50">
                  <c:v>-1.0269562977782698E-15</c:v>
                </c:pt>
                <c:pt idx="51">
                  <c:v>9.9999999999998979E-2</c:v>
                </c:pt>
                <c:pt idx="52">
                  <c:v>0.19999999999999898</c:v>
                </c:pt>
                <c:pt idx="53">
                  <c:v>0.29999999999999899</c:v>
                </c:pt>
                <c:pt idx="54">
                  <c:v>0.39999999999999902</c:v>
                </c:pt>
                <c:pt idx="55">
                  <c:v>0.499999999999999</c:v>
                </c:pt>
                <c:pt idx="56">
                  <c:v>0.59999999999999898</c:v>
                </c:pt>
                <c:pt idx="57">
                  <c:v>0.69999999999999896</c:v>
                </c:pt>
                <c:pt idx="58">
                  <c:v>0.79999999999999893</c:v>
                </c:pt>
                <c:pt idx="59">
                  <c:v>0.89999999999999891</c:v>
                </c:pt>
                <c:pt idx="60">
                  <c:v>0.99999999999999889</c:v>
                </c:pt>
                <c:pt idx="61">
                  <c:v>1.099999999999999</c:v>
                </c:pt>
                <c:pt idx="62">
                  <c:v>1.1999999999999991</c:v>
                </c:pt>
                <c:pt idx="63">
                  <c:v>1.2999999999999992</c:v>
                </c:pt>
                <c:pt idx="64">
                  <c:v>1.3999999999999992</c:v>
                </c:pt>
                <c:pt idx="65">
                  <c:v>1.4999999999999993</c:v>
                </c:pt>
                <c:pt idx="66">
                  <c:v>1.5999999999999994</c:v>
                </c:pt>
                <c:pt idx="67">
                  <c:v>1.6999999999999995</c:v>
                </c:pt>
                <c:pt idx="68">
                  <c:v>1.7999999999999996</c:v>
                </c:pt>
                <c:pt idx="69">
                  <c:v>1.8999999999999997</c:v>
                </c:pt>
                <c:pt idx="70">
                  <c:v>1.9999999999999998</c:v>
                </c:pt>
                <c:pt idx="71">
                  <c:v>2.0999999999999996</c:v>
                </c:pt>
                <c:pt idx="72">
                  <c:v>2.1999999999999997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2.8000000000000003</c:v>
                </c:pt>
                <c:pt idx="79">
                  <c:v>2.9000000000000004</c:v>
                </c:pt>
                <c:pt idx="80">
                  <c:v>3.0000000000000004</c:v>
                </c:pt>
                <c:pt idx="81">
                  <c:v>3.1000000000000005</c:v>
                </c:pt>
                <c:pt idx="82">
                  <c:v>3.2000000000000006</c:v>
                </c:pt>
                <c:pt idx="83">
                  <c:v>3.3000000000000007</c:v>
                </c:pt>
                <c:pt idx="84">
                  <c:v>3.4000000000000008</c:v>
                </c:pt>
                <c:pt idx="85">
                  <c:v>3.5000000000000009</c:v>
                </c:pt>
                <c:pt idx="86">
                  <c:v>3.600000000000001</c:v>
                </c:pt>
                <c:pt idx="87">
                  <c:v>3.7000000000000011</c:v>
                </c:pt>
                <c:pt idx="88">
                  <c:v>3.8000000000000012</c:v>
                </c:pt>
                <c:pt idx="89">
                  <c:v>3.9000000000000012</c:v>
                </c:pt>
                <c:pt idx="90">
                  <c:v>4.0000000000000009</c:v>
                </c:pt>
              </c:numCache>
            </c:numRef>
          </c:cat>
          <c:val>
            <c:numRef>
              <c:f>task1!$N$1:$N$91</c:f>
              <c:numCache>
                <c:formatCode>General</c:formatCode>
                <c:ptCount val="91"/>
                <c:pt idx="0">
                  <c:v>16.221713955868452</c:v>
                </c:pt>
                <c:pt idx="1">
                  <c:v>15.626713955868453</c:v>
                </c:pt>
                <c:pt idx="2">
                  <c:v>15.041713955868456</c:v>
                </c:pt>
                <c:pt idx="3">
                  <c:v>14.46671395586846</c:v>
                </c:pt>
                <c:pt idx="4">
                  <c:v>13.901713955868463</c:v>
                </c:pt>
                <c:pt idx="5">
                  <c:v>13.346713955868463</c:v>
                </c:pt>
                <c:pt idx="6">
                  <c:v>12.801713955868465</c:v>
                </c:pt>
                <c:pt idx="7">
                  <c:v>12.266713955868465</c:v>
                </c:pt>
                <c:pt idx="8">
                  <c:v>11.74171395586847</c:v>
                </c:pt>
                <c:pt idx="9">
                  <c:v>11.226713955868469</c:v>
                </c:pt>
                <c:pt idx="10">
                  <c:v>10.72171395586847</c:v>
                </c:pt>
                <c:pt idx="11">
                  <c:v>10.226713955868469</c:v>
                </c:pt>
                <c:pt idx="12">
                  <c:v>9.7417139558684696</c:v>
                </c:pt>
                <c:pt idx="13">
                  <c:v>9.2667139558684681</c:v>
                </c:pt>
                <c:pt idx="14">
                  <c:v>8.8017139558684683</c:v>
                </c:pt>
                <c:pt idx="15">
                  <c:v>8.3467139558684664</c:v>
                </c:pt>
                <c:pt idx="16">
                  <c:v>7.901713955868467</c:v>
                </c:pt>
                <c:pt idx="17">
                  <c:v>7.4667139558684665</c:v>
                </c:pt>
                <c:pt idx="18">
                  <c:v>7.041713955868464</c:v>
                </c:pt>
                <c:pt idx="19">
                  <c:v>6.6267139558684649</c:v>
                </c:pt>
                <c:pt idx="20">
                  <c:v>6.2217139558684638</c:v>
                </c:pt>
                <c:pt idx="21">
                  <c:v>5.8267139558684624</c:v>
                </c:pt>
                <c:pt idx="22">
                  <c:v>5.4417139558684626</c:v>
                </c:pt>
                <c:pt idx="23">
                  <c:v>5.0667139558684626</c:v>
                </c:pt>
                <c:pt idx="24">
                  <c:v>4.7017139558684615</c:v>
                </c:pt>
                <c:pt idx="25">
                  <c:v>4.3467139558684602</c:v>
                </c:pt>
                <c:pt idx="26">
                  <c:v>4.0017139558684605</c:v>
                </c:pt>
                <c:pt idx="27">
                  <c:v>3.6667139558684605</c:v>
                </c:pt>
                <c:pt idx="28">
                  <c:v>3.3417139558684594</c:v>
                </c:pt>
                <c:pt idx="29">
                  <c:v>3.026713955868459</c:v>
                </c:pt>
                <c:pt idx="30">
                  <c:v>2.7217139558684584</c:v>
                </c:pt>
                <c:pt idx="31">
                  <c:v>2.4267139558684581</c:v>
                </c:pt>
                <c:pt idx="32">
                  <c:v>2.1417139558684575</c:v>
                </c:pt>
                <c:pt idx="33">
                  <c:v>1.8667139558684571</c:v>
                </c:pt>
                <c:pt idx="34">
                  <c:v>1.6017139558684566</c:v>
                </c:pt>
                <c:pt idx="35">
                  <c:v>1.3467139558684567</c:v>
                </c:pt>
                <c:pt idx="36">
                  <c:v>1.1017139558684561</c:v>
                </c:pt>
                <c:pt idx="37">
                  <c:v>0.86671395586845579</c:v>
                </c:pt>
                <c:pt idx="38">
                  <c:v>0.64171395586845548</c:v>
                </c:pt>
                <c:pt idx="39">
                  <c:v>0.42671395586845517</c:v>
                </c:pt>
                <c:pt idx="40">
                  <c:v>0.22171395586845488</c:v>
                </c:pt>
                <c:pt idx="41">
                  <c:v>2.671395586845482E-2</c:v>
                </c:pt>
                <c:pt idx="42">
                  <c:v>-0.15828604413154523</c:v>
                </c:pt>
                <c:pt idx="43">
                  <c:v>-0.33328604413154528</c:v>
                </c:pt>
                <c:pt idx="44">
                  <c:v>-0.49828604413154531</c:v>
                </c:pt>
                <c:pt idx="45">
                  <c:v>-0.65328604413154534</c:v>
                </c:pt>
                <c:pt idx="46">
                  <c:v>-0.79828604413154547</c:v>
                </c:pt>
                <c:pt idx="47">
                  <c:v>-0.93328604413154559</c:v>
                </c:pt>
                <c:pt idx="48">
                  <c:v>-1.0582860441315456</c:v>
                </c:pt>
                <c:pt idx="49">
                  <c:v>-1.1732860441315458</c:v>
                </c:pt>
                <c:pt idx="50">
                  <c:v>-1.2782860441315458</c:v>
                </c:pt>
                <c:pt idx="51">
                  <c:v>-1.373286044131546</c:v>
                </c:pt>
                <c:pt idx="52">
                  <c:v>-1.4582860441315462</c:v>
                </c:pt>
                <c:pt idx="53">
                  <c:v>-1.5332860441315461</c:v>
                </c:pt>
                <c:pt idx="54">
                  <c:v>-1.5982860441315463</c:v>
                </c:pt>
                <c:pt idx="55">
                  <c:v>-1.6532860441315465</c:v>
                </c:pt>
                <c:pt idx="56">
                  <c:v>-1.6982860441315464</c:v>
                </c:pt>
                <c:pt idx="57">
                  <c:v>-1.7332860441315465</c:v>
                </c:pt>
                <c:pt idx="58">
                  <c:v>-1.7582860441315467</c:v>
                </c:pt>
                <c:pt idx="59">
                  <c:v>-1.7732860441315468</c:v>
                </c:pt>
                <c:pt idx="60">
                  <c:v>-1.7782860441315469</c:v>
                </c:pt>
                <c:pt idx="61">
                  <c:v>-1.773286044131547</c:v>
                </c:pt>
                <c:pt idx="62">
                  <c:v>-1.7582860441315471</c:v>
                </c:pt>
                <c:pt idx="63">
                  <c:v>-1.7332860441315472</c:v>
                </c:pt>
                <c:pt idx="64">
                  <c:v>-1.6982860441315473</c:v>
                </c:pt>
                <c:pt idx="65">
                  <c:v>-1.6532860441315471</c:v>
                </c:pt>
                <c:pt idx="66">
                  <c:v>-1.5982860441315472</c:v>
                </c:pt>
                <c:pt idx="67">
                  <c:v>-1.5332860441315472</c:v>
                </c:pt>
                <c:pt idx="68">
                  <c:v>-1.4582860441315473</c:v>
                </c:pt>
                <c:pt idx="69">
                  <c:v>-1.3732860441315471</c:v>
                </c:pt>
                <c:pt idx="70">
                  <c:v>-1.2782860441315471</c:v>
                </c:pt>
                <c:pt idx="71">
                  <c:v>-1.1732860441315474</c:v>
                </c:pt>
                <c:pt idx="72">
                  <c:v>-1.0582860441315471</c:v>
                </c:pt>
                <c:pt idx="73">
                  <c:v>-0.93328604413154714</c:v>
                </c:pt>
                <c:pt idx="74">
                  <c:v>-0.79828604413154691</c:v>
                </c:pt>
                <c:pt idx="75">
                  <c:v>-0.65328604413154689</c:v>
                </c:pt>
                <c:pt idx="76">
                  <c:v>-0.49828604413154665</c:v>
                </c:pt>
                <c:pt idx="77">
                  <c:v>-0.33328604413154661</c:v>
                </c:pt>
                <c:pt idx="78">
                  <c:v>-0.15828604413154634</c:v>
                </c:pt>
                <c:pt idx="79">
                  <c:v>2.6713955868453709E-2</c:v>
                </c:pt>
                <c:pt idx="80">
                  <c:v>0.22171395586845444</c:v>
                </c:pt>
                <c:pt idx="81">
                  <c:v>0.42671395586845406</c:v>
                </c:pt>
                <c:pt idx="82">
                  <c:v>0.64171395586845437</c:v>
                </c:pt>
                <c:pt idx="83">
                  <c:v>0.86671395586845446</c:v>
                </c:pt>
                <c:pt idx="84">
                  <c:v>1.1017139558684552</c:v>
                </c:pt>
                <c:pt idx="85">
                  <c:v>1.3467139558684558</c:v>
                </c:pt>
                <c:pt idx="86">
                  <c:v>1.6017139558684552</c:v>
                </c:pt>
                <c:pt idx="87">
                  <c:v>1.8667139558684562</c:v>
                </c:pt>
                <c:pt idx="88">
                  <c:v>2.1417139558684561</c:v>
                </c:pt>
                <c:pt idx="89">
                  <c:v>2.4267139558684567</c:v>
                </c:pt>
                <c:pt idx="90">
                  <c:v>2.7217139558684558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522560"/>
        <c:axId val="156673128"/>
      </c:lineChart>
      <c:catAx>
        <c:axId val="15652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673128"/>
        <c:crosses val="autoZero"/>
        <c:auto val="1"/>
        <c:lblAlgn val="ctr"/>
        <c:lblOffset val="100"/>
        <c:noMultiLvlLbl val="0"/>
      </c:catAx>
      <c:valAx>
        <c:axId val="156673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522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x_1|y=-1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task2!$G$2:$G$26</c:f>
              <c:numCache>
                <c:formatCode>General</c:formatCode>
                <c:ptCount val="25"/>
                <c:pt idx="0">
                  <c:v>-1.7048601925509801</c:v>
                </c:pt>
                <c:pt idx="1">
                  <c:v>-1.49138512774315</c:v>
                </c:pt>
                <c:pt idx="2">
                  <c:v>-1.4140693136420801</c:v>
                </c:pt>
                <c:pt idx="3">
                  <c:v>-1.39685137912344</c:v>
                </c:pt>
                <c:pt idx="4">
                  <c:v>-0.89163842610709598</c:v>
                </c:pt>
                <c:pt idx="5">
                  <c:v>-0.64153222416655697</c:v>
                </c:pt>
                <c:pt idx="6">
                  <c:v>-0.62316147847983105</c:v>
                </c:pt>
                <c:pt idx="7">
                  <c:v>-0.363293877407948</c:v>
                </c:pt>
                <c:pt idx="8">
                  <c:v>-0.194356712835666</c:v>
                </c:pt>
                <c:pt idx="9">
                  <c:v>-7.6693614386577097E-2</c:v>
                </c:pt>
                <c:pt idx="10">
                  <c:v>9.79969643381257E-2</c:v>
                </c:pt>
                <c:pt idx="11">
                  <c:v>0.11870196837399501</c:v>
                </c:pt>
                <c:pt idx="12">
                  <c:v>0.13484868272473599</c:v>
                </c:pt>
                <c:pt idx="13">
                  <c:v>0.15482623664997999</c:v>
                </c:pt>
                <c:pt idx="14">
                  <c:v>0.33086589114599002</c:v>
                </c:pt>
                <c:pt idx="15">
                  <c:v>0.52661590163930705</c:v>
                </c:pt>
                <c:pt idx="16">
                  <c:v>0.56044933151451404</c:v>
                </c:pt>
                <c:pt idx="17">
                  <c:v>1.035633516623</c:v>
                </c:pt>
                <c:pt idx="18">
                  <c:v>1.2491751498100201</c:v>
                </c:pt>
                <c:pt idx="19">
                  <c:v>1.2511310476748601</c:v>
                </c:pt>
                <c:pt idx="20">
                  <c:v>1.2693096197859599</c:v>
                </c:pt>
                <c:pt idx="21">
                  <c:v>1.27026809162857</c:v>
                </c:pt>
                <c:pt idx="22">
                  <c:v>1.32123115190245</c:v>
                </c:pt>
                <c:pt idx="23">
                  <c:v>1.75479716503808</c:v>
                </c:pt>
                <c:pt idx="24">
                  <c:v>2.2204265518614199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609392"/>
        <c:axId val="156736088"/>
      </c:lineChart>
      <c:catAx>
        <c:axId val="1576093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736088"/>
        <c:crosses val="autoZero"/>
        <c:auto val="1"/>
        <c:lblAlgn val="ctr"/>
        <c:lblOffset val="100"/>
        <c:noMultiLvlLbl val="0"/>
      </c:catAx>
      <c:valAx>
        <c:axId val="156736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7609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x_2|y=-1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task2!$H$2:$H$26</c:f>
              <c:numCache>
                <c:formatCode>General</c:formatCode>
                <c:ptCount val="25"/>
                <c:pt idx="0">
                  <c:v>-2.7834040882272699</c:v>
                </c:pt>
                <c:pt idx="1">
                  <c:v>-2.1622137053169701</c:v>
                </c:pt>
                <c:pt idx="2">
                  <c:v>-0.68210353573308702</c:v>
                </c:pt>
                <c:pt idx="3">
                  <c:v>-0.38886586504166798</c:v>
                </c:pt>
                <c:pt idx="4">
                  <c:v>-0.335654402615848</c:v>
                </c:pt>
                <c:pt idx="5">
                  <c:v>-0.26461010310528199</c:v>
                </c:pt>
                <c:pt idx="6">
                  <c:v>-0.137711389082292</c:v>
                </c:pt>
                <c:pt idx="7">
                  <c:v>0.237272076509562</c:v>
                </c:pt>
                <c:pt idx="8">
                  <c:v>0.67790445736734695</c:v>
                </c:pt>
                <c:pt idx="9">
                  <c:v>0.86951696981086601</c:v>
                </c:pt>
                <c:pt idx="10">
                  <c:v>0.88896760764255001</c:v>
                </c:pt>
                <c:pt idx="11">
                  <c:v>0.97010164258990395</c:v>
                </c:pt>
                <c:pt idx="12">
                  <c:v>1.0095662243699299</c:v>
                </c:pt>
                <c:pt idx="13">
                  <c:v>1.07065245753176</c:v>
                </c:pt>
                <c:pt idx="14">
                  <c:v>1.5226099066118901</c:v>
                </c:pt>
                <c:pt idx="15">
                  <c:v>1.62568721833194</c:v>
                </c:pt>
                <c:pt idx="16">
                  <c:v>1.7078319468522101</c:v>
                </c:pt>
                <c:pt idx="17">
                  <c:v>1.8943195420265599</c:v>
                </c:pt>
                <c:pt idx="18">
                  <c:v>2.0726806747798099</c:v>
                </c:pt>
                <c:pt idx="19">
                  <c:v>2.1786126808464501</c:v>
                </c:pt>
                <c:pt idx="20">
                  <c:v>2.2358629041015701</c:v>
                </c:pt>
                <c:pt idx="21">
                  <c:v>2.3033852530773302</c:v>
                </c:pt>
                <c:pt idx="22">
                  <c:v>2.6974073369451199</c:v>
                </c:pt>
                <c:pt idx="23">
                  <c:v>3.3223978668187901</c:v>
                </c:pt>
                <c:pt idx="24">
                  <c:v>3.60641250937352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604784"/>
        <c:axId val="156825496"/>
      </c:lineChart>
      <c:catAx>
        <c:axId val="157604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825496"/>
        <c:crosses val="autoZero"/>
        <c:auto val="1"/>
        <c:lblAlgn val="ctr"/>
        <c:lblOffset val="100"/>
        <c:noMultiLvlLbl val="0"/>
      </c:catAx>
      <c:valAx>
        <c:axId val="156825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760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x_1|y=+1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task2!$G$27:$G$51</c:f>
              <c:numCache>
                <c:formatCode>General</c:formatCode>
                <c:ptCount val="25"/>
                <c:pt idx="0">
                  <c:v>-0.79186552518030695</c:v>
                </c:pt>
                <c:pt idx="1">
                  <c:v>-0.167210751400338</c:v>
                </c:pt>
                <c:pt idx="2">
                  <c:v>-1.7502899138543301E-2</c:v>
                </c:pt>
                <c:pt idx="3">
                  <c:v>-2.00164305996808E-3</c:v>
                </c:pt>
                <c:pt idx="4">
                  <c:v>0.207005618221727</c:v>
                </c:pt>
                <c:pt idx="5">
                  <c:v>0.24244706600628599</c:v>
                </c:pt>
                <c:pt idx="6">
                  <c:v>0.24827229083240099</c:v>
                </c:pt>
                <c:pt idx="7">
                  <c:v>0.36553955878771899</c:v>
                </c:pt>
                <c:pt idx="8">
                  <c:v>0.38257585299804098</c:v>
                </c:pt>
                <c:pt idx="9">
                  <c:v>0.38333056219066602</c:v>
                </c:pt>
                <c:pt idx="10">
                  <c:v>0.40760455402474</c:v>
                </c:pt>
                <c:pt idx="11">
                  <c:v>0.41343414853174998</c:v>
                </c:pt>
                <c:pt idx="12">
                  <c:v>0.450204108111117</c:v>
                </c:pt>
                <c:pt idx="13">
                  <c:v>0.59211860915043302</c:v>
                </c:pt>
                <c:pt idx="14">
                  <c:v>0.61833845106108098</c:v>
                </c:pt>
                <c:pt idx="15">
                  <c:v>0.83239647367142</c:v>
                </c:pt>
                <c:pt idx="16">
                  <c:v>1.19097019264139</c:v>
                </c:pt>
                <c:pt idx="17">
                  <c:v>1.2399751626336599</c:v>
                </c:pt>
                <c:pt idx="18">
                  <c:v>1.36878833349333</c:v>
                </c:pt>
                <c:pt idx="19">
                  <c:v>1.41899075467786</c:v>
                </c:pt>
                <c:pt idx="20">
                  <c:v>1.4234410103911701</c:v>
                </c:pt>
                <c:pt idx="21">
                  <c:v>1.6448127823949801</c:v>
                </c:pt>
                <c:pt idx="22">
                  <c:v>1.66079890453533</c:v>
                </c:pt>
                <c:pt idx="23">
                  <c:v>1.9047387069309401</c:v>
                </c:pt>
                <c:pt idx="24">
                  <c:v>1.91832351730913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856136"/>
        <c:axId val="156820832"/>
      </c:lineChart>
      <c:catAx>
        <c:axId val="1568561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820832"/>
        <c:crosses val="autoZero"/>
        <c:auto val="1"/>
        <c:lblAlgn val="ctr"/>
        <c:lblOffset val="100"/>
        <c:noMultiLvlLbl val="0"/>
      </c:catAx>
      <c:valAx>
        <c:axId val="15682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856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x_2|y=+1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task2!$H$27:$H$51</c:f>
              <c:numCache>
                <c:formatCode>General</c:formatCode>
                <c:ptCount val="25"/>
                <c:pt idx="0">
                  <c:v>-2.5423433104640001</c:v>
                </c:pt>
                <c:pt idx="1">
                  <c:v>-2.2917883757367199</c:v>
                </c:pt>
                <c:pt idx="2">
                  <c:v>-1.9694730813901999</c:v>
                </c:pt>
                <c:pt idx="3">
                  <c:v>-1.1899060784395501</c:v>
                </c:pt>
                <c:pt idx="4">
                  <c:v>-0.93890732262598497</c:v>
                </c:pt>
                <c:pt idx="5">
                  <c:v>-0.59721296102740395</c:v>
                </c:pt>
                <c:pt idx="6">
                  <c:v>-0.45233541666812699</c:v>
                </c:pt>
                <c:pt idx="7">
                  <c:v>-0.239998656120506</c:v>
                </c:pt>
                <c:pt idx="8">
                  <c:v>-4.78324756525123E-2</c:v>
                </c:pt>
                <c:pt idx="9">
                  <c:v>-4.6625697612428997E-2</c:v>
                </c:pt>
                <c:pt idx="10">
                  <c:v>4.7035614193201701E-2</c:v>
                </c:pt>
                <c:pt idx="11">
                  <c:v>0.45085664802004799</c:v>
                </c:pt>
                <c:pt idx="12">
                  <c:v>0.56538903332971202</c:v>
                </c:pt>
                <c:pt idx="13">
                  <c:v>0.59583130667036299</c:v>
                </c:pt>
                <c:pt idx="14">
                  <c:v>0.69251800392943197</c:v>
                </c:pt>
                <c:pt idx="15">
                  <c:v>0.89742842736454398</c:v>
                </c:pt>
                <c:pt idx="16">
                  <c:v>1.26240224222423</c:v>
                </c:pt>
                <c:pt idx="17">
                  <c:v>1.3094054381525599</c:v>
                </c:pt>
                <c:pt idx="18">
                  <c:v>1.31071157636819</c:v>
                </c:pt>
                <c:pt idx="19">
                  <c:v>2.6196506272837401</c:v>
                </c:pt>
                <c:pt idx="20">
                  <c:v>2.8081933180258498</c:v>
                </c:pt>
                <c:pt idx="21">
                  <c:v>2.9794859474761801</c:v>
                </c:pt>
                <c:pt idx="22">
                  <c:v>4.4967775486092796</c:v>
                </c:pt>
                <c:pt idx="23">
                  <c:v>4.9710522070426801</c:v>
                </c:pt>
                <c:pt idx="24">
                  <c:v>5.4396241964689702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820296"/>
        <c:axId val="155512728"/>
      </c:lineChart>
      <c:catAx>
        <c:axId val="156820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512728"/>
        <c:crosses val="autoZero"/>
        <c:auto val="1"/>
        <c:lblAlgn val="ctr"/>
        <c:lblOffset val="100"/>
        <c:noMultiLvlLbl val="0"/>
      </c:catAx>
      <c:valAx>
        <c:axId val="155512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820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task2!$S$38:$S$62</c:f>
              <c:numCache>
                <c:formatCode>General</c:formatCode>
                <c:ptCount val="25"/>
                <c:pt idx="0">
                  <c:v>5.4651129639752887E-4</c:v>
                </c:pt>
                <c:pt idx="1">
                  <c:v>1.853004612596774E-3</c:v>
                </c:pt>
                <c:pt idx="2">
                  <c:v>9.0864586515435122E-3</c:v>
                </c:pt>
                <c:pt idx="3">
                  <c:v>1.1186808798469589E-2</c:v>
                </c:pt>
                <c:pt idx="4">
                  <c:v>2.0451024506498688E-2</c:v>
                </c:pt>
                <c:pt idx="5">
                  <c:v>2.6016575993505514E-2</c:v>
                </c:pt>
                <c:pt idx="6">
                  <c:v>2.8039167721255288E-2</c:v>
                </c:pt>
                <c:pt idx="7">
                  <c:v>3.7621661654822142E-2</c:v>
                </c:pt>
                <c:pt idx="8">
                  <c:v>4.4162237072877204E-2</c:v>
                </c:pt>
                <c:pt idx="9">
                  <c:v>4.62983030355167E-2</c:v>
                </c:pt>
                <c:pt idx="10">
                  <c:v>4.752080288191942E-2</c:v>
                </c:pt>
                <c:pt idx="11">
                  <c:v>4.7639435809270131E-2</c:v>
                </c:pt>
                <c:pt idx="12">
                  <c:v>4.7655295623286402E-2</c:v>
                </c:pt>
                <c:pt idx="13">
                  <c:v>4.7592882853620365E-2</c:v>
                </c:pt>
                <c:pt idx="14">
                  <c:v>4.4275479832374245E-2</c:v>
                </c:pt>
                <c:pt idx="15">
                  <c:v>4.1361912026908434E-2</c:v>
                </c:pt>
                <c:pt idx="16">
                  <c:v>3.9951151739698779E-2</c:v>
                </c:pt>
                <c:pt idx="17">
                  <c:v>2.9091765279791761E-2</c:v>
                </c:pt>
                <c:pt idx="18">
                  <c:v>2.2602920503117886E-2</c:v>
                </c:pt>
                <c:pt idx="19">
                  <c:v>2.1429185990391765E-2</c:v>
                </c:pt>
                <c:pt idx="20">
                  <c:v>2.0452520674461926E-2</c:v>
                </c:pt>
                <c:pt idx="21">
                  <c:v>1.9693490849720791E-2</c:v>
                </c:pt>
                <c:pt idx="22">
                  <c:v>1.4555119473675151E-2</c:v>
                </c:pt>
                <c:pt idx="23">
                  <c:v>5.1411587195453563E-3</c:v>
                </c:pt>
                <c:pt idx="24">
                  <c:v>1.8550611163767664E-3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task2!$U$38:$U$62</c:f>
              <c:numCache>
                <c:formatCode>General</c:formatCode>
                <c:ptCount val="25"/>
                <c:pt idx="0">
                  <c:v>1.5581180926295438E-3</c:v>
                </c:pt>
                <c:pt idx="1">
                  <c:v>8.3375101656644017E-3</c:v>
                </c:pt>
                <c:pt idx="2">
                  <c:v>1.3124846018000692E-2</c:v>
                </c:pt>
                <c:pt idx="3">
                  <c:v>2.0319690025830991E-2</c:v>
                </c:pt>
                <c:pt idx="4">
                  <c:v>2.9183074961921757E-2</c:v>
                </c:pt>
                <c:pt idx="5">
                  <c:v>3.4069785871281351E-2</c:v>
                </c:pt>
                <c:pt idx="6">
                  <c:v>3.5761683757053013E-2</c:v>
                </c:pt>
                <c:pt idx="7">
                  <c:v>4.1586975333822454E-2</c:v>
                </c:pt>
                <c:pt idx="8">
                  <c:v>4.3823278464372117E-2</c:v>
                </c:pt>
                <c:pt idx="9">
                  <c:v>4.3855493700883021E-2</c:v>
                </c:pt>
                <c:pt idx="10">
                  <c:v>4.530240409946476E-2</c:v>
                </c:pt>
                <c:pt idx="11">
                  <c:v>4.7799922911563035E-2</c:v>
                </c:pt>
                <c:pt idx="12">
                  <c:v>4.9187519639480703E-2</c:v>
                </c:pt>
                <c:pt idx="13">
                  <c:v>5.2088261897638023E-2</c:v>
                </c:pt>
                <c:pt idx="14">
                  <c:v>5.2578200372667236E-2</c:v>
                </c:pt>
                <c:pt idx="15">
                  <c:v>5.2423887427188585E-2</c:v>
                </c:pt>
                <c:pt idx="16">
                  <c:v>4.1500639290568429E-2</c:v>
                </c:pt>
                <c:pt idx="17">
                  <c:v>3.9322420973693671E-2</c:v>
                </c:pt>
                <c:pt idx="18">
                  <c:v>3.3792471782903941E-2</c:v>
                </c:pt>
                <c:pt idx="19">
                  <c:v>2.2504376264996014E-2</c:v>
                </c:pt>
                <c:pt idx="20">
                  <c:v>2.0639404287357568E-2</c:v>
                </c:pt>
                <c:pt idx="21">
                  <c:v>1.3268368810427124E-2</c:v>
                </c:pt>
                <c:pt idx="22">
                  <c:v>4.7744076858275072E-3</c:v>
                </c:pt>
                <c:pt idx="23">
                  <c:v>1.8727673591282079E-3</c:v>
                </c:pt>
                <c:pt idx="24">
                  <c:v>1.1448239263849346E-3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512336"/>
        <c:axId val="155511944"/>
      </c:lineChart>
      <c:catAx>
        <c:axId val="1555123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511944"/>
        <c:crosses val="autoZero"/>
        <c:auto val="1"/>
        <c:lblAlgn val="ctr"/>
        <c:lblOffset val="100"/>
        <c:noMultiLvlLbl val="0"/>
      </c:catAx>
      <c:valAx>
        <c:axId val="155511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512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task2!$A$62:$A$86</c:f>
              <c:numCache>
                <c:formatCode>General</c:formatCode>
                <c:ptCount val="25"/>
                <c:pt idx="0">
                  <c:v>-1.39685137912344</c:v>
                </c:pt>
                <c:pt idx="1">
                  <c:v>-1.49138512774315</c:v>
                </c:pt>
                <c:pt idx="2">
                  <c:v>-0.89163842610709598</c:v>
                </c:pt>
                <c:pt idx="3">
                  <c:v>1.32123115190245</c:v>
                </c:pt>
                <c:pt idx="4">
                  <c:v>0.15482623664997999</c:v>
                </c:pt>
                <c:pt idx="5">
                  <c:v>1.75479716503808</c:v>
                </c:pt>
                <c:pt idx="6">
                  <c:v>0.52661590163930705</c:v>
                </c:pt>
                <c:pt idx="7">
                  <c:v>-1.7048601925509801</c:v>
                </c:pt>
                <c:pt idx="8">
                  <c:v>1.2491751498100201</c:v>
                </c:pt>
                <c:pt idx="9">
                  <c:v>0.11870196837399501</c:v>
                </c:pt>
                <c:pt idx="10">
                  <c:v>-0.194356712835666</c:v>
                </c:pt>
                <c:pt idx="11">
                  <c:v>1.2511310476748601</c:v>
                </c:pt>
                <c:pt idx="12">
                  <c:v>-0.62316147847983105</c:v>
                </c:pt>
                <c:pt idx="13">
                  <c:v>2.2204265518614199</c:v>
                </c:pt>
                <c:pt idx="14">
                  <c:v>-7.6693614386577097E-2</c:v>
                </c:pt>
                <c:pt idx="15">
                  <c:v>-1.4140693136420801</c:v>
                </c:pt>
                <c:pt idx="16">
                  <c:v>-0.363293877407948</c:v>
                </c:pt>
                <c:pt idx="17">
                  <c:v>1.27026809162857</c:v>
                </c:pt>
                <c:pt idx="18">
                  <c:v>0.33086589114599002</c:v>
                </c:pt>
                <c:pt idx="19">
                  <c:v>1.2693096197859599</c:v>
                </c:pt>
                <c:pt idx="20">
                  <c:v>0.56044933151451404</c:v>
                </c:pt>
                <c:pt idx="21">
                  <c:v>9.79969643381257E-2</c:v>
                </c:pt>
                <c:pt idx="22">
                  <c:v>0.13484868272473599</c:v>
                </c:pt>
                <c:pt idx="23">
                  <c:v>1.035633516623</c:v>
                </c:pt>
                <c:pt idx="24">
                  <c:v>-0.64153222416655697</c:v>
                </c:pt>
              </c:numCache>
            </c:numRef>
          </c:xVal>
          <c:yVal>
            <c:numRef>
              <c:f>task2!$B$62:$B$86</c:f>
              <c:numCache>
                <c:formatCode>General</c:formatCode>
                <c:ptCount val="25"/>
                <c:pt idx="0">
                  <c:v>0.67790445736734695</c:v>
                </c:pt>
                <c:pt idx="1">
                  <c:v>1.62568721833194</c:v>
                </c:pt>
                <c:pt idx="2">
                  <c:v>3.60641250937352</c:v>
                </c:pt>
                <c:pt idx="3">
                  <c:v>-2.7834040882272699</c:v>
                </c:pt>
                <c:pt idx="4">
                  <c:v>-2.1622137053169701</c:v>
                </c:pt>
                <c:pt idx="5">
                  <c:v>2.0726806747798099</c:v>
                </c:pt>
                <c:pt idx="6">
                  <c:v>-0.38886586504166798</c:v>
                </c:pt>
                <c:pt idx="7">
                  <c:v>3.3223978668187901</c:v>
                </c:pt>
                <c:pt idx="8">
                  <c:v>-0.26461010310528199</c:v>
                </c:pt>
                <c:pt idx="9">
                  <c:v>1.8943195420265599</c:v>
                </c:pt>
                <c:pt idx="10">
                  <c:v>0.237272076509562</c:v>
                </c:pt>
                <c:pt idx="11">
                  <c:v>0.86951696981086601</c:v>
                </c:pt>
                <c:pt idx="12">
                  <c:v>0.88896760764255001</c:v>
                </c:pt>
                <c:pt idx="13">
                  <c:v>0.97010164258990395</c:v>
                </c:pt>
                <c:pt idx="14">
                  <c:v>-0.335654402615848</c:v>
                </c:pt>
                <c:pt idx="15">
                  <c:v>2.6974073369451199</c:v>
                </c:pt>
                <c:pt idx="16">
                  <c:v>2.3033852530773302</c:v>
                </c:pt>
                <c:pt idx="17">
                  <c:v>2.2358629041015701</c:v>
                </c:pt>
                <c:pt idx="18">
                  <c:v>1.07065245753176</c:v>
                </c:pt>
                <c:pt idx="19">
                  <c:v>-0.68210353573308702</c:v>
                </c:pt>
                <c:pt idx="20">
                  <c:v>-0.137711389082292</c:v>
                </c:pt>
                <c:pt idx="21">
                  <c:v>1.7078319468522101</c:v>
                </c:pt>
                <c:pt idx="22">
                  <c:v>1.5226099066118901</c:v>
                </c:pt>
                <c:pt idx="23">
                  <c:v>1.0095662243699299</c:v>
                </c:pt>
                <c:pt idx="24">
                  <c:v>2.1786126808464501</c:v>
                </c:pt>
              </c:numCache>
            </c:numRef>
          </c:yVal>
          <c:smooth val="0"/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task2!$D$62:$D$86</c:f>
              <c:numCache>
                <c:formatCode>General</c:formatCode>
                <c:ptCount val="25"/>
                <c:pt idx="0">
                  <c:v>1.66079890453533</c:v>
                </c:pt>
                <c:pt idx="1">
                  <c:v>1.6448127823949801</c:v>
                </c:pt>
                <c:pt idx="2">
                  <c:v>0.40760455402474</c:v>
                </c:pt>
                <c:pt idx="3">
                  <c:v>0.24827229083240099</c:v>
                </c:pt>
                <c:pt idx="4">
                  <c:v>0.38257585299804098</c:v>
                </c:pt>
                <c:pt idx="5">
                  <c:v>0.83239647367142</c:v>
                </c:pt>
                <c:pt idx="6">
                  <c:v>-2.00164305996808E-3</c:v>
                </c:pt>
                <c:pt idx="7">
                  <c:v>-0.79186552518030695</c:v>
                </c:pt>
                <c:pt idx="8">
                  <c:v>1.4234410103911701</c:v>
                </c:pt>
                <c:pt idx="9">
                  <c:v>0.207005618221727</c:v>
                </c:pt>
                <c:pt idx="10">
                  <c:v>0.61833845106108098</c:v>
                </c:pt>
                <c:pt idx="11">
                  <c:v>1.2399751626336599</c:v>
                </c:pt>
                <c:pt idx="12">
                  <c:v>0.450204108111117</c:v>
                </c:pt>
                <c:pt idx="13">
                  <c:v>1.91832351730913</c:v>
                </c:pt>
                <c:pt idx="14">
                  <c:v>1.36878833349333</c:v>
                </c:pt>
                <c:pt idx="15">
                  <c:v>-0.167210751400338</c:v>
                </c:pt>
                <c:pt idx="16">
                  <c:v>-1.7502899138543301E-2</c:v>
                </c:pt>
                <c:pt idx="17">
                  <c:v>1.41899075467786</c:v>
                </c:pt>
                <c:pt idx="18">
                  <c:v>0.59211860915043302</c:v>
                </c:pt>
                <c:pt idx="19">
                  <c:v>0.24244706600628599</c:v>
                </c:pt>
                <c:pt idx="20">
                  <c:v>0.36553955878771899</c:v>
                </c:pt>
                <c:pt idx="21">
                  <c:v>1.9047387069309401</c:v>
                </c:pt>
                <c:pt idx="22">
                  <c:v>0.41343414853174998</c:v>
                </c:pt>
                <c:pt idx="23">
                  <c:v>0.38333056219066602</c:v>
                </c:pt>
                <c:pt idx="24">
                  <c:v>1.19097019264139</c:v>
                </c:pt>
              </c:numCache>
            </c:numRef>
          </c:xVal>
          <c:yVal>
            <c:numRef>
              <c:f>task2!$E$62:$E$86</c:f>
              <c:numCache>
                <c:formatCode>General</c:formatCode>
                <c:ptCount val="25"/>
                <c:pt idx="0">
                  <c:v>2.6196506272837401</c:v>
                </c:pt>
                <c:pt idx="1">
                  <c:v>0.89742842736454398</c:v>
                </c:pt>
                <c:pt idx="2">
                  <c:v>5.4396241964689702</c:v>
                </c:pt>
                <c:pt idx="3">
                  <c:v>-0.93890732262598497</c:v>
                </c:pt>
                <c:pt idx="4">
                  <c:v>-0.45233541666812699</c:v>
                </c:pt>
                <c:pt idx="5">
                  <c:v>0.45085664802004799</c:v>
                </c:pt>
                <c:pt idx="6">
                  <c:v>-1.9694730813901999</c:v>
                </c:pt>
                <c:pt idx="7">
                  <c:v>2.8081933180258498</c:v>
                </c:pt>
                <c:pt idx="8">
                  <c:v>0.69251800392943197</c:v>
                </c:pt>
                <c:pt idx="9">
                  <c:v>4.7035614193201701E-2</c:v>
                </c:pt>
                <c:pt idx="10">
                  <c:v>1.3094054381525599</c:v>
                </c:pt>
                <c:pt idx="11">
                  <c:v>1.31071157636819</c:v>
                </c:pt>
                <c:pt idx="12">
                  <c:v>-4.6625697612428997E-2</c:v>
                </c:pt>
                <c:pt idx="13">
                  <c:v>0.56538903332971202</c:v>
                </c:pt>
                <c:pt idx="14">
                  <c:v>4.4967775486092796</c:v>
                </c:pt>
                <c:pt idx="15">
                  <c:v>-4.78324756525123E-2</c:v>
                </c:pt>
                <c:pt idx="16">
                  <c:v>-1.1899060784395501</c:v>
                </c:pt>
                <c:pt idx="17">
                  <c:v>-0.239998656120506</c:v>
                </c:pt>
                <c:pt idx="18">
                  <c:v>1.26240224222423</c:v>
                </c:pt>
                <c:pt idx="19">
                  <c:v>4.9710522070426801</c:v>
                </c:pt>
                <c:pt idx="20">
                  <c:v>-0.59721296102740395</c:v>
                </c:pt>
                <c:pt idx="21">
                  <c:v>0.59583130667036299</c:v>
                </c:pt>
                <c:pt idx="22">
                  <c:v>2.9794859474761801</c:v>
                </c:pt>
                <c:pt idx="23">
                  <c:v>-2.5423433104640001</c:v>
                </c:pt>
                <c:pt idx="24">
                  <c:v>-2.2917883757367199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511160"/>
        <c:axId val="155510768"/>
      </c:scatterChart>
      <c:valAx>
        <c:axId val="155511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510768"/>
        <c:crosses val="autoZero"/>
        <c:crossBetween val="midCat"/>
      </c:valAx>
      <c:valAx>
        <c:axId val="15551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511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128586</xdr:colOff>
      <xdr:row>47</xdr:row>
      <xdr:rowOff>190499</xdr:rowOff>
    </xdr:from>
    <xdr:to>
      <xdr:col>18</xdr:col>
      <xdr:colOff>581024</xdr:colOff>
      <xdr:row>72</xdr:row>
      <xdr:rowOff>104774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128587</xdr:colOff>
      <xdr:row>73</xdr:row>
      <xdr:rowOff>0</xdr:rowOff>
    </xdr:from>
    <xdr:to>
      <xdr:col>15</xdr:col>
      <xdr:colOff>433387</xdr:colOff>
      <xdr:row>87</xdr:row>
      <xdr:rowOff>76200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33337</xdr:colOff>
      <xdr:row>0</xdr:row>
      <xdr:rowOff>66675</xdr:rowOff>
    </xdr:from>
    <xdr:to>
      <xdr:col>27</xdr:col>
      <xdr:colOff>9525</xdr:colOff>
      <xdr:row>11</xdr:row>
      <xdr:rowOff>123825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80962</xdr:colOff>
      <xdr:row>11</xdr:row>
      <xdr:rowOff>171450</xdr:rowOff>
    </xdr:from>
    <xdr:to>
      <xdr:col>27</xdr:col>
      <xdr:colOff>133350</xdr:colOff>
      <xdr:row>22</xdr:row>
      <xdr:rowOff>180975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42862</xdr:colOff>
      <xdr:row>26</xdr:row>
      <xdr:rowOff>180975</xdr:rowOff>
    </xdr:from>
    <xdr:to>
      <xdr:col>27</xdr:col>
      <xdr:colOff>9525</xdr:colOff>
      <xdr:row>38</xdr:row>
      <xdr:rowOff>9525</xdr:rowOff>
    </xdr:to>
    <xdr:graphicFrame macro="">
      <xdr:nvGraphicFramePr>
        <xdr:cNvPr id="10" name="Диаграмма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71437</xdr:colOff>
      <xdr:row>38</xdr:row>
      <xdr:rowOff>38100</xdr:rowOff>
    </xdr:from>
    <xdr:to>
      <xdr:col>27</xdr:col>
      <xdr:colOff>95250</xdr:colOff>
      <xdr:row>49</xdr:row>
      <xdr:rowOff>57150</xdr:rowOff>
    </xdr:to>
    <xdr:graphicFrame macro="">
      <xdr:nvGraphicFramePr>
        <xdr:cNvPr id="11" name="Диаграмма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457200</xdr:colOff>
      <xdr:row>62</xdr:row>
      <xdr:rowOff>95249</xdr:rowOff>
    </xdr:from>
    <xdr:to>
      <xdr:col>25</xdr:col>
      <xdr:colOff>57150</xdr:colOff>
      <xdr:row>86</xdr:row>
      <xdr:rowOff>28574</xdr:rowOff>
    </xdr:to>
    <xdr:graphicFrame macro="">
      <xdr:nvGraphicFramePr>
        <xdr:cNvPr id="13" name="Диаграмма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76200</xdr:colOff>
      <xdr:row>62</xdr:row>
      <xdr:rowOff>19050</xdr:rowOff>
    </xdr:from>
    <xdr:to>
      <xdr:col>16</xdr:col>
      <xdr:colOff>352424</xdr:colOff>
      <xdr:row>85</xdr:row>
      <xdr:rowOff>171450</xdr:rowOff>
    </xdr:to>
    <xdr:graphicFrame macro="">
      <xdr:nvGraphicFramePr>
        <xdr:cNvPr id="17" name="Диаграмма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task2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2"/>
  <sheetViews>
    <sheetView tabSelected="1" topLeftCell="A49" workbookViewId="0">
      <selection activeCell="C83" sqref="C83"/>
    </sheetView>
  </sheetViews>
  <sheetFormatPr defaultRowHeight="15" x14ac:dyDescent="0.25"/>
  <cols>
    <col min="2" max="2" width="23" bestFit="1" customWidth="1"/>
    <col min="3" max="3" width="26.42578125" customWidth="1"/>
    <col min="4" max="4" width="23.28515625" customWidth="1"/>
  </cols>
  <sheetData>
    <row r="1" spans="1:14" x14ac:dyDescent="0.25">
      <c r="A1" t="s">
        <v>6</v>
      </c>
      <c r="B1" t="s">
        <v>7</v>
      </c>
      <c r="C1" t="s">
        <v>8</v>
      </c>
      <c r="E1">
        <f>3/SQRT(2*PI())</f>
        <v>1.1968268412042982</v>
      </c>
      <c r="G1">
        <f>3*E1</f>
        <v>3.5904805236128947</v>
      </c>
      <c r="I1">
        <f>0</f>
        <v>0</v>
      </c>
      <c r="J1">
        <f>EXP((I1*I1/2)-I1)/$G$1</f>
        <v>0.27851425273677777</v>
      </c>
      <c r="M1">
        <f>-5</f>
        <v>-5</v>
      </c>
      <c r="N1">
        <f>M1*M1/2-M1+LN(1/$G$1)</f>
        <v>16.221713955868452</v>
      </c>
    </row>
    <row r="2" spans="1:14" x14ac:dyDescent="0.25">
      <c r="A2">
        <f>-6</f>
        <v>-6</v>
      </c>
      <c r="B2">
        <f>$E$1*EXP(-(A2*A2)/2)</f>
        <v>1.8227648549469859E-8</v>
      </c>
      <c r="C2">
        <f>IF(A2&lt;0, 0, EXP(-A2))</f>
        <v>0</v>
      </c>
      <c r="I2">
        <f>I1+0.5</f>
        <v>0.5</v>
      </c>
      <c r="J2">
        <f t="shared" ref="J2:J21" si="0">EXP((I2*I2/2)-I2)/$G$1</f>
        <v>0.19141985989646657</v>
      </c>
      <c r="M2">
        <f>M1+0.1</f>
        <v>-4.9000000000000004</v>
      </c>
      <c r="N2">
        <f t="shared" ref="N2:N65" si="1">M2*M2/2-M2+LN(1/$G$1)</f>
        <v>15.626713955868453</v>
      </c>
    </row>
    <row r="3" spans="1:14" x14ac:dyDescent="0.25">
      <c r="A3">
        <f>A2+0.1</f>
        <v>-5.9</v>
      </c>
      <c r="B3">
        <f t="shared" ref="B3:B66" si="2">$E$1*EXP(-(A3*A3)/2)</f>
        <v>3.3047290874046924E-8</v>
      </c>
      <c r="C3">
        <f t="shared" ref="C3:C66" si="3">IF(A3&lt;0, 0, EXP(-A3))</f>
        <v>0</v>
      </c>
      <c r="I3">
        <f t="shared" ref="I3:I20" si="4">I2+0.5</f>
        <v>1</v>
      </c>
      <c r="J3">
        <f t="shared" si="0"/>
        <v>0.16892743345180894</v>
      </c>
      <c r="M3">
        <f t="shared" ref="M3:M66" si="5">M2+0.1</f>
        <v>-4.8000000000000007</v>
      </c>
      <c r="N3">
        <f t="shared" si="1"/>
        <v>15.041713955868456</v>
      </c>
    </row>
    <row r="4" spans="1:14" x14ac:dyDescent="0.25">
      <c r="A4">
        <f t="shared" ref="A4:A67" si="6">A3+0.1</f>
        <v>-5.8000000000000007</v>
      </c>
      <c r="B4">
        <f t="shared" si="2"/>
        <v>5.9319589218733807E-8</v>
      </c>
      <c r="C4">
        <f t="shared" si="3"/>
        <v>0</v>
      </c>
      <c r="I4">
        <f t="shared" si="4"/>
        <v>1.5</v>
      </c>
      <c r="J4">
        <f t="shared" si="0"/>
        <v>0.19141985989646657</v>
      </c>
      <c r="M4">
        <f t="shared" si="5"/>
        <v>-4.7000000000000011</v>
      </c>
      <c r="N4">
        <f t="shared" si="1"/>
        <v>14.46671395586846</v>
      </c>
    </row>
    <row r="5" spans="1:14" x14ac:dyDescent="0.25">
      <c r="A5">
        <f t="shared" si="6"/>
        <v>-5.7000000000000011</v>
      </c>
      <c r="B5">
        <f t="shared" si="2"/>
        <v>1.0541865284461265E-7</v>
      </c>
      <c r="C5">
        <f t="shared" si="3"/>
        <v>0</v>
      </c>
      <c r="I5">
        <f t="shared" si="4"/>
        <v>2</v>
      </c>
      <c r="J5">
        <f t="shared" si="0"/>
        <v>0.27851425273677777</v>
      </c>
      <c r="M5">
        <f t="shared" si="5"/>
        <v>-4.6000000000000014</v>
      </c>
      <c r="N5">
        <f t="shared" si="1"/>
        <v>13.901713955868463</v>
      </c>
    </row>
    <row r="6" spans="1:14" x14ac:dyDescent="0.25">
      <c r="A6">
        <f t="shared" si="6"/>
        <v>-5.6000000000000014</v>
      </c>
      <c r="B6">
        <f t="shared" si="2"/>
        <v>1.8547861500497375E-7</v>
      </c>
      <c r="C6">
        <f t="shared" si="3"/>
        <v>0</v>
      </c>
      <c r="I6">
        <f t="shared" si="4"/>
        <v>2.5</v>
      </c>
      <c r="J6">
        <f t="shared" si="0"/>
        <v>0.52033312676274135</v>
      </c>
      <c r="M6">
        <f t="shared" si="5"/>
        <v>-4.5000000000000018</v>
      </c>
      <c r="N6">
        <f t="shared" si="1"/>
        <v>13.346713955868463</v>
      </c>
    </row>
    <row r="7" spans="1:14" x14ac:dyDescent="0.25">
      <c r="A7">
        <f t="shared" si="6"/>
        <v>-5.5000000000000018</v>
      </c>
      <c r="B7">
        <f t="shared" si="2"/>
        <v>3.2309280127629485E-7</v>
      </c>
      <c r="C7">
        <f t="shared" si="3"/>
        <v>0</v>
      </c>
      <c r="I7">
        <f t="shared" si="4"/>
        <v>3</v>
      </c>
      <c r="J7">
        <f t="shared" si="0"/>
        <v>1.2482142824237903</v>
      </c>
      <c r="M7">
        <f t="shared" si="5"/>
        <v>-4.4000000000000021</v>
      </c>
      <c r="N7">
        <f t="shared" si="1"/>
        <v>12.801713955868465</v>
      </c>
    </row>
    <row r="8" spans="1:14" x14ac:dyDescent="0.25">
      <c r="A8">
        <f t="shared" si="6"/>
        <v>-5.4000000000000021</v>
      </c>
      <c r="B8">
        <f t="shared" si="2"/>
        <v>5.5720855336658203E-7</v>
      </c>
      <c r="C8">
        <f t="shared" si="3"/>
        <v>0</v>
      </c>
      <c r="I8">
        <f t="shared" si="4"/>
        <v>3.5</v>
      </c>
      <c r="J8">
        <f t="shared" si="0"/>
        <v>3.8447706637818895</v>
      </c>
      <c r="M8">
        <f t="shared" si="5"/>
        <v>-4.3000000000000025</v>
      </c>
      <c r="N8">
        <f t="shared" si="1"/>
        <v>12.266713955868465</v>
      </c>
    </row>
    <row r="9" spans="1:14" x14ac:dyDescent="0.25">
      <c r="A9">
        <f t="shared" si="6"/>
        <v>-5.3000000000000025</v>
      </c>
      <c r="B9">
        <f t="shared" si="2"/>
        <v>9.5140476501478087E-7</v>
      </c>
      <c r="C9">
        <f t="shared" si="3"/>
        <v>0</v>
      </c>
      <c r="I9">
        <f t="shared" si="4"/>
        <v>4</v>
      </c>
      <c r="J9">
        <f t="shared" si="0"/>
        <v>15.206362957291645</v>
      </c>
      <c r="M9">
        <f t="shared" si="5"/>
        <v>-4.2000000000000028</v>
      </c>
      <c r="N9">
        <f t="shared" si="1"/>
        <v>11.74171395586847</v>
      </c>
    </row>
    <row r="10" spans="1:14" x14ac:dyDescent="0.25">
      <c r="A10">
        <f t="shared" si="6"/>
        <v>-5.2000000000000028</v>
      </c>
      <c r="B10">
        <f t="shared" si="2"/>
        <v>1.6083106034092613E-6</v>
      </c>
      <c r="C10">
        <f t="shared" si="3"/>
        <v>0</v>
      </c>
      <c r="I10">
        <f t="shared" si="4"/>
        <v>4.5</v>
      </c>
      <c r="J10">
        <f t="shared" si="0"/>
        <v>77.224283128579899</v>
      </c>
      <c r="M10">
        <f t="shared" si="5"/>
        <v>-4.1000000000000032</v>
      </c>
      <c r="N10">
        <f t="shared" si="1"/>
        <v>11.226713955868469</v>
      </c>
    </row>
    <row r="11" spans="1:14" x14ac:dyDescent="0.25">
      <c r="A11">
        <f t="shared" si="6"/>
        <v>-5.1000000000000032</v>
      </c>
      <c r="B11">
        <f t="shared" si="2"/>
        <v>2.6917305487149537E-6</v>
      </c>
      <c r="C11">
        <f t="shared" si="3"/>
        <v>0</v>
      </c>
      <c r="I11">
        <f t="shared" si="4"/>
        <v>5</v>
      </c>
      <c r="J11">
        <f t="shared" si="0"/>
        <v>503.56558197862989</v>
      </c>
      <c r="M11">
        <f t="shared" si="5"/>
        <v>-4.0000000000000036</v>
      </c>
      <c r="N11">
        <f t="shared" si="1"/>
        <v>10.72171395586847</v>
      </c>
    </row>
    <row r="12" spans="1:14" x14ac:dyDescent="0.25">
      <c r="A12">
        <f t="shared" si="6"/>
        <v>-5.0000000000000036</v>
      </c>
      <c r="B12">
        <f t="shared" si="2"/>
        <v>4.460158544202814E-6</v>
      </c>
      <c r="C12">
        <f t="shared" si="3"/>
        <v>0</v>
      </c>
      <c r="I12">
        <f t="shared" si="4"/>
        <v>5.5</v>
      </c>
      <c r="J12">
        <f t="shared" si="0"/>
        <v>4216.3029964562147</v>
      </c>
      <c r="M12">
        <f t="shared" si="5"/>
        <v>-3.9000000000000035</v>
      </c>
      <c r="N12">
        <f t="shared" si="1"/>
        <v>10.226713955868469</v>
      </c>
    </row>
    <row r="13" spans="1:14" x14ac:dyDescent="0.25">
      <c r="A13">
        <f t="shared" si="6"/>
        <v>-4.9000000000000039</v>
      </c>
      <c r="B13">
        <f t="shared" si="2"/>
        <v>7.3168822376799405E-6</v>
      </c>
      <c r="C13">
        <f t="shared" si="3"/>
        <v>0</v>
      </c>
      <c r="I13">
        <f t="shared" si="4"/>
        <v>6</v>
      </c>
      <c r="J13">
        <f t="shared" si="0"/>
        <v>45329.529111394011</v>
      </c>
      <c r="M13">
        <f t="shared" si="5"/>
        <v>-3.8000000000000034</v>
      </c>
      <c r="N13">
        <f t="shared" si="1"/>
        <v>9.7417139558684696</v>
      </c>
    </row>
    <row r="14" spans="1:14" x14ac:dyDescent="0.25">
      <c r="A14">
        <f t="shared" si="6"/>
        <v>-4.8000000000000043</v>
      </c>
      <c r="B14">
        <f t="shared" si="2"/>
        <v>1.1883897273095973E-5</v>
      </c>
      <c r="C14">
        <f t="shared" si="3"/>
        <v>0</v>
      </c>
      <c r="I14">
        <f t="shared" si="4"/>
        <v>6.5</v>
      </c>
      <c r="J14">
        <f t="shared" si="0"/>
        <v>625754.84743772657</v>
      </c>
      <c r="M14">
        <f t="shared" si="5"/>
        <v>-3.7000000000000033</v>
      </c>
      <c r="N14">
        <f t="shared" si="1"/>
        <v>9.2667139558684681</v>
      </c>
    </row>
    <row r="15" spans="1:14" x14ac:dyDescent="0.25">
      <c r="A15">
        <f t="shared" si="6"/>
        <v>-4.7000000000000046</v>
      </c>
      <c r="B15">
        <f t="shared" si="2"/>
        <v>1.9109475536600897E-5</v>
      </c>
      <c r="C15">
        <f t="shared" si="3"/>
        <v>0</v>
      </c>
      <c r="I15">
        <f t="shared" si="4"/>
        <v>7</v>
      </c>
      <c r="J15">
        <f t="shared" si="0"/>
        <v>11091770.06689423</v>
      </c>
      <c r="M15">
        <f t="shared" si="5"/>
        <v>-3.6000000000000032</v>
      </c>
      <c r="N15">
        <f t="shared" si="1"/>
        <v>8.8017139558684683</v>
      </c>
    </row>
    <row r="16" spans="1:14" x14ac:dyDescent="0.25">
      <c r="A16">
        <f t="shared" si="6"/>
        <v>-4.600000000000005</v>
      </c>
      <c r="B16">
        <f t="shared" si="2"/>
        <v>3.0422556196459526E-5</v>
      </c>
      <c r="C16">
        <f t="shared" si="3"/>
        <v>0</v>
      </c>
      <c r="I16">
        <f t="shared" si="4"/>
        <v>7.5</v>
      </c>
      <c r="J16">
        <f t="shared" si="0"/>
        <v>252447523.12403259</v>
      </c>
      <c r="M16">
        <f t="shared" si="5"/>
        <v>-3.5000000000000031</v>
      </c>
      <c r="N16">
        <f t="shared" si="1"/>
        <v>8.3467139558684664</v>
      </c>
    </row>
    <row r="17" spans="1:14" x14ac:dyDescent="0.25">
      <c r="A17">
        <f t="shared" si="6"/>
        <v>-4.5000000000000053</v>
      </c>
      <c r="B17">
        <f t="shared" si="2"/>
        <v>4.7951223320715235E-5</v>
      </c>
      <c r="C17">
        <f t="shared" si="3"/>
        <v>0</v>
      </c>
      <c r="I17">
        <f t="shared" si="4"/>
        <v>8</v>
      </c>
      <c r="J17">
        <f t="shared" si="0"/>
        <v>7377598055.6465979</v>
      </c>
      <c r="M17">
        <f t="shared" si="5"/>
        <v>-3.400000000000003</v>
      </c>
      <c r="N17">
        <f t="shared" si="1"/>
        <v>7.901713955868467</v>
      </c>
    </row>
    <row r="18" spans="1:14" x14ac:dyDescent="0.25">
      <c r="A18">
        <f t="shared" si="6"/>
        <v>-4.4000000000000057</v>
      </c>
      <c r="B18">
        <f t="shared" si="2"/>
        <v>7.4827413870158868E-5</v>
      </c>
      <c r="C18">
        <f t="shared" si="3"/>
        <v>0</v>
      </c>
      <c r="I18">
        <f>I17+0.5</f>
        <v>8.5</v>
      </c>
      <c r="J18">
        <f t="shared" si="0"/>
        <v>276842324620.94922</v>
      </c>
      <c r="M18">
        <f t="shared" si="5"/>
        <v>-3.3000000000000029</v>
      </c>
      <c r="N18">
        <f t="shared" si="1"/>
        <v>7.4667139558684665</v>
      </c>
    </row>
    <row r="19" spans="1:14" x14ac:dyDescent="0.25">
      <c r="A19">
        <f t="shared" si="6"/>
        <v>-4.300000000000006</v>
      </c>
      <c r="B19">
        <f t="shared" si="2"/>
        <v>1.1560559022625832E-4</v>
      </c>
      <c r="C19">
        <f t="shared" si="3"/>
        <v>0</v>
      </c>
      <c r="I19">
        <f t="shared" si="4"/>
        <v>9</v>
      </c>
      <c r="J19">
        <f t="shared" si="0"/>
        <v>13339010201417.633</v>
      </c>
      <c r="M19">
        <f t="shared" si="5"/>
        <v>-3.2000000000000028</v>
      </c>
      <c r="N19">
        <f t="shared" si="1"/>
        <v>7.041713955868464</v>
      </c>
    </row>
    <row r="20" spans="1:14" x14ac:dyDescent="0.25">
      <c r="A20">
        <f t="shared" si="6"/>
        <v>-4.2000000000000064</v>
      </c>
      <c r="B20">
        <f t="shared" si="2"/>
        <v>1.7682920326961486E-4</v>
      </c>
      <c r="C20">
        <f t="shared" si="3"/>
        <v>0</v>
      </c>
      <c r="I20">
        <f t="shared" si="4"/>
        <v>9.5</v>
      </c>
      <c r="J20">
        <f t="shared" si="0"/>
        <v>825255338730017.5</v>
      </c>
      <c r="M20">
        <f t="shared" si="5"/>
        <v>-3.1000000000000028</v>
      </c>
      <c r="N20">
        <f t="shared" si="1"/>
        <v>6.6267139558684649</v>
      </c>
    </row>
    <row r="21" spans="1:14" x14ac:dyDescent="0.25">
      <c r="A21">
        <f t="shared" si="6"/>
        <v>-4.1000000000000068</v>
      </c>
      <c r="B21">
        <f t="shared" si="2"/>
        <v>2.6778497153139122E-4</v>
      </c>
      <c r="C21">
        <f t="shared" si="3"/>
        <v>0</v>
      </c>
      <c r="I21">
        <f>I20+0.5</f>
        <v>10</v>
      </c>
      <c r="J21">
        <f t="shared" si="0"/>
        <v>6.5558151698359664E+16</v>
      </c>
      <c r="M21">
        <f t="shared" si="5"/>
        <v>-3.0000000000000027</v>
      </c>
      <c r="N21">
        <f t="shared" si="1"/>
        <v>6.2217139558684638</v>
      </c>
    </row>
    <row r="22" spans="1:14" x14ac:dyDescent="0.25">
      <c r="A22">
        <f t="shared" si="6"/>
        <v>-4.0000000000000071</v>
      </c>
      <c r="B22">
        <f t="shared" si="2"/>
        <v>4.0149067729464469E-4</v>
      </c>
      <c r="C22">
        <f t="shared" si="3"/>
        <v>0</v>
      </c>
      <c r="M22">
        <f t="shared" si="5"/>
        <v>-2.9000000000000026</v>
      </c>
      <c r="N22">
        <f t="shared" si="1"/>
        <v>5.8267139558684624</v>
      </c>
    </row>
    <row r="23" spans="1:14" x14ac:dyDescent="0.25">
      <c r="A23">
        <f t="shared" si="6"/>
        <v>-3.900000000000007</v>
      </c>
      <c r="B23">
        <f t="shared" si="2"/>
        <v>5.9596641417830186E-4</v>
      </c>
      <c r="C23">
        <f t="shared" si="3"/>
        <v>0</v>
      </c>
      <c r="M23">
        <f t="shared" si="5"/>
        <v>-2.8000000000000025</v>
      </c>
      <c r="N23">
        <f t="shared" si="1"/>
        <v>5.4417139558684626</v>
      </c>
    </row>
    <row r="24" spans="1:14" x14ac:dyDescent="0.25">
      <c r="A24">
        <f t="shared" si="6"/>
        <v>-3.8000000000000069</v>
      </c>
      <c r="B24">
        <f t="shared" si="2"/>
        <v>8.758407773743575E-4</v>
      </c>
      <c r="C24">
        <f t="shared" si="3"/>
        <v>0</v>
      </c>
      <c r="M24">
        <f t="shared" si="5"/>
        <v>-2.7000000000000024</v>
      </c>
      <c r="N24">
        <f t="shared" si="1"/>
        <v>5.0667139558684626</v>
      </c>
    </row>
    <row r="25" spans="1:14" x14ac:dyDescent="0.25">
      <c r="A25">
        <f t="shared" si="6"/>
        <v>-3.7000000000000068</v>
      </c>
      <c r="B25">
        <f t="shared" si="2"/>
        <v>1.2743408116522228E-3</v>
      </c>
      <c r="C25">
        <f t="shared" si="3"/>
        <v>0</v>
      </c>
      <c r="M25">
        <f t="shared" si="5"/>
        <v>-2.6000000000000023</v>
      </c>
      <c r="N25">
        <f t="shared" si="1"/>
        <v>4.7017139558684615</v>
      </c>
    </row>
    <row r="26" spans="1:14" x14ac:dyDescent="0.25">
      <c r="A26">
        <f t="shared" si="6"/>
        <v>-3.6000000000000068</v>
      </c>
      <c r="B26">
        <f t="shared" si="2"/>
        <v>1.835705790341272E-3</v>
      </c>
      <c r="C26">
        <f t="shared" si="3"/>
        <v>0</v>
      </c>
      <c r="M26">
        <f t="shared" si="5"/>
        <v>-2.5000000000000022</v>
      </c>
      <c r="N26">
        <f t="shared" si="1"/>
        <v>4.3467139558684602</v>
      </c>
    </row>
    <row r="27" spans="1:14" x14ac:dyDescent="0.25">
      <c r="A27">
        <f t="shared" si="6"/>
        <v>-3.5000000000000067</v>
      </c>
      <c r="B27">
        <f t="shared" si="2"/>
        <v>2.6180480851372202E-3</v>
      </c>
      <c r="C27">
        <f t="shared" si="3"/>
        <v>0</v>
      </c>
      <c r="M27">
        <f t="shared" si="5"/>
        <v>-2.4000000000000021</v>
      </c>
      <c r="N27">
        <f t="shared" si="1"/>
        <v>4.0017139558684605</v>
      </c>
    </row>
    <row r="28" spans="1:14" x14ac:dyDescent="0.25">
      <c r="A28">
        <f t="shared" si="6"/>
        <v>-3.4000000000000066</v>
      </c>
      <c r="B28">
        <f t="shared" si="2"/>
        <v>3.6966575054189744E-3</v>
      </c>
      <c r="C28">
        <f t="shared" si="3"/>
        <v>0</v>
      </c>
      <c r="M28">
        <f t="shared" si="5"/>
        <v>-2.300000000000002</v>
      </c>
      <c r="N28">
        <f t="shared" si="1"/>
        <v>3.6667139558684605</v>
      </c>
    </row>
    <row r="29" spans="1:14" x14ac:dyDescent="0.25">
      <c r="A29">
        <f t="shared" si="6"/>
        <v>-3.3000000000000065</v>
      </c>
      <c r="B29">
        <f t="shared" si="2"/>
        <v>5.1677068171609294E-3</v>
      </c>
      <c r="C29">
        <f t="shared" si="3"/>
        <v>0</v>
      </c>
      <c r="M29">
        <f t="shared" si="5"/>
        <v>-2.200000000000002</v>
      </c>
      <c r="N29">
        <f t="shared" si="1"/>
        <v>3.3417139558684594</v>
      </c>
    </row>
    <row r="30" spans="1:14" x14ac:dyDescent="0.25">
      <c r="A30">
        <f t="shared" si="6"/>
        <v>-3.2000000000000064</v>
      </c>
      <c r="B30">
        <f t="shared" si="2"/>
        <v>7.1522646043943811E-3</v>
      </c>
      <c r="C30">
        <f t="shared" si="3"/>
        <v>0</v>
      </c>
      <c r="M30">
        <f t="shared" si="5"/>
        <v>-2.1000000000000019</v>
      </c>
      <c r="N30">
        <f t="shared" si="1"/>
        <v>3.026713955868459</v>
      </c>
    </row>
    <row r="31" spans="1:14" x14ac:dyDescent="0.25">
      <c r="A31">
        <f t="shared" si="6"/>
        <v>-3.1000000000000063</v>
      </c>
      <c r="B31">
        <f t="shared" si="2"/>
        <v>9.8004571685995738E-3</v>
      </c>
      <c r="C31">
        <f t="shared" si="3"/>
        <v>0</v>
      </c>
      <c r="M31">
        <f t="shared" si="5"/>
        <v>-2.0000000000000018</v>
      </c>
      <c r="N31">
        <f t="shared" si="1"/>
        <v>2.7217139558684584</v>
      </c>
    </row>
    <row r="32" spans="1:14" x14ac:dyDescent="0.25">
      <c r="A32">
        <f t="shared" si="6"/>
        <v>-3.0000000000000062</v>
      </c>
      <c r="B32">
        <f t="shared" si="2"/>
        <v>1.3295545235813775E-2</v>
      </c>
      <c r="C32">
        <f t="shared" si="3"/>
        <v>0</v>
      </c>
      <c r="M32">
        <f t="shared" si="5"/>
        <v>-1.9000000000000017</v>
      </c>
      <c r="N32">
        <f t="shared" si="1"/>
        <v>2.4267139558684581</v>
      </c>
    </row>
    <row r="33" spans="1:14" x14ac:dyDescent="0.25">
      <c r="A33">
        <f t="shared" si="6"/>
        <v>-2.9000000000000061</v>
      </c>
      <c r="B33">
        <f t="shared" si="2"/>
        <v>1.7857597259327243E-2</v>
      </c>
      <c r="C33">
        <f t="shared" si="3"/>
        <v>0</v>
      </c>
      <c r="M33">
        <f t="shared" si="5"/>
        <v>-1.8000000000000016</v>
      </c>
      <c r="N33">
        <f t="shared" si="1"/>
        <v>2.1417139558684575</v>
      </c>
    </row>
    <row r="34" spans="1:14" x14ac:dyDescent="0.25">
      <c r="A34">
        <f t="shared" si="6"/>
        <v>-2.800000000000006</v>
      </c>
      <c r="B34">
        <f t="shared" si="2"/>
        <v>2.3746354748939495E-2</v>
      </c>
      <c r="C34">
        <f t="shared" si="3"/>
        <v>0</v>
      </c>
      <c r="M34">
        <f t="shared" si="5"/>
        <v>-1.7000000000000015</v>
      </c>
      <c r="N34">
        <f t="shared" si="1"/>
        <v>1.8667139558684571</v>
      </c>
    </row>
    <row r="35" spans="1:14" x14ac:dyDescent="0.25">
      <c r="A35">
        <f t="shared" si="6"/>
        <v>-2.700000000000006</v>
      </c>
      <c r="B35">
        <f t="shared" si="2"/>
        <v>3.1262804443267289E-2</v>
      </c>
      <c r="C35">
        <f t="shared" si="3"/>
        <v>0</v>
      </c>
      <c r="M35">
        <f t="shared" si="5"/>
        <v>-1.6000000000000014</v>
      </c>
      <c r="N35">
        <f t="shared" si="1"/>
        <v>1.6017139558684566</v>
      </c>
    </row>
    <row r="36" spans="1:14" x14ac:dyDescent="0.25">
      <c r="A36">
        <f t="shared" si="6"/>
        <v>-2.6000000000000059</v>
      </c>
      <c r="B36">
        <f t="shared" si="2"/>
        <v>4.0748907701056228E-2</v>
      </c>
      <c r="C36">
        <f t="shared" si="3"/>
        <v>0</v>
      </c>
      <c r="M36">
        <f t="shared" si="5"/>
        <v>-1.5000000000000013</v>
      </c>
      <c r="N36">
        <f t="shared" si="1"/>
        <v>1.3467139558684567</v>
      </c>
    </row>
    <row r="37" spans="1:14" x14ac:dyDescent="0.25">
      <c r="A37">
        <f t="shared" si="6"/>
        <v>-2.5000000000000058</v>
      </c>
      <c r="B37">
        <f t="shared" si="2"/>
        <v>5.2584901480704875E-2</v>
      </c>
      <c r="C37">
        <f t="shared" si="3"/>
        <v>0</v>
      </c>
      <c r="M37">
        <f t="shared" si="5"/>
        <v>-1.4000000000000012</v>
      </c>
      <c r="N37">
        <f t="shared" si="1"/>
        <v>1.1017139558684561</v>
      </c>
    </row>
    <row r="38" spans="1:14" x14ac:dyDescent="0.25">
      <c r="A38">
        <f t="shared" si="6"/>
        <v>-2.4000000000000057</v>
      </c>
      <c r="B38">
        <f t="shared" si="2"/>
        <v>6.7183590884527786E-2</v>
      </c>
      <c r="C38">
        <f t="shared" si="3"/>
        <v>0</v>
      </c>
      <c r="M38">
        <f t="shared" si="5"/>
        <v>-1.3000000000000012</v>
      </c>
      <c r="N38">
        <f t="shared" si="1"/>
        <v>0.86671395586845579</v>
      </c>
    </row>
    <row r="39" spans="1:14" x14ac:dyDescent="0.25">
      <c r="A39">
        <f t="shared" si="6"/>
        <v>-2.3000000000000056</v>
      </c>
      <c r="B39">
        <f t="shared" si="2"/>
        <v>8.4981113224802438E-2</v>
      </c>
      <c r="C39">
        <f t="shared" si="3"/>
        <v>0</v>
      </c>
      <c r="M39">
        <f t="shared" si="5"/>
        <v>-1.2000000000000011</v>
      </c>
      <c r="N39">
        <f t="shared" si="1"/>
        <v>0.64171395586845548</v>
      </c>
    </row>
    <row r="40" spans="1:14" x14ac:dyDescent="0.25">
      <c r="A40">
        <f t="shared" si="6"/>
        <v>-2.2000000000000055</v>
      </c>
      <c r="B40">
        <f t="shared" si="2"/>
        <v>0.10642377853869305</v>
      </c>
      <c r="C40">
        <f t="shared" si="3"/>
        <v>0</v>
      </c>
      <c r="I40">
        <f>SQRT(1-2*LN(SQRT(2*PI())/3))</f>
        <v>1.165910593024557</v>
      </c>
      <c r="J40">
        <f>1+I40</f>
        <v>2.1659105930245568</v>
      </c>
      <c r="M40">
        <f t="shared" si="5"/>
        <v>-1.100000000000001</v>
      </c>
      <c r="N40">
        <f t="shared" si="1"/>
        <v>0.42671395586845517</v>
      </c>
    </row>
    <row r="41" spans="1:14" x14ac:dyDescent="0.25">
      <c r="A41">
        <f t="shared" si="6"/>
        <v>-2.1000000000000054</v>
      </c>
      <c r="B41">
        <f t="shared" si="2"/>
        <v>0.13195078794128012</v>
      </c>
      <c r="C41">
        <f t="shared" si="3"/>
        <v>0</v>
      </c>
      <c r="J41">
        <f>1-I40</f>
        <v>-0.16591059302455702</v>
      </c>
      <c r="M41">
        <f t="shared" si="5"/>
        <v>-1.0000000000000009</v>
      </c>
      <c r="N41">
        <f t="shared" si="1"/>
        <v>0.22171395586845488</v>
      </c>
    </row>
    <row r="42" spans="1:14" x14ac:dyDescent="0.25">
      <c r="A42">
        <f t="shared" si="6"/>
        <v>-2.0000000000000053</v>
      </c>
      <c r="B42">
        <f t="shared" si="2"/>
        <v>0.16197289953956245</v>
      </c>
      <c r="C42">
        <f t="shared" si="3"/>
        <v>0</v>
      </c>
      <c r="M42">
        <f t="shared" si="5"/>
        <v>-0.90000000000000091</v>
      </c>
      <c r="N42">
        <f t="shared" si="1"/>
        <v>2.671395586845482E-2</v>
      </c>
    </row>
    <row r="43" spans="1:14" x14ac:dyDescent="0.25">
      <c r="A43">
        <f t="shared" si="6"/>
        <v>-1.9000000000000052</v>
      </c>
      <c r="B43">
        <f t="shared" si="2"/>
        <v>0.19684744432402784</v>
      </c>
      <c r="C43">
        <f t="shared" si="3"/>
        <v>0</v>
      </c>
      <c r="M43">
        <f t="shared" si="5"/>
        <v>-0.80000000000000093</v>
      </c>
      <c r="N43">
        <f t="shared" si="1"/>
        <v>-0.15828604413154523</v>
      </c>
    </row>
    <row r="44" spans="1:14" x14ac:dyDescent="0.25">
      <c r="A44">
        <f t="shared" si="6"/>
        <v>-1.8000000000000052</v>
      </c>
      <c r="B44">
        <f t="shared" si="2"/>
        <v>0.2368504749026803</v>
      </c>
      <c r="C44">
        <f t="shared" si="3"/>
        <v>0</v>
      </c>
      <c r="M44">
        <f t="shared" si="5"/>
        <v>-0.70000000000000095</v>
      </c>
      <c r="N44">
        <f t="shared" si="1"/>
        <v>-0.33328604413154528</v>
      </c>
    </row>
    <row r="45" spans="1:14" x14ac:dyDescent="0.25">
      <c r="A45">
        <f t="shared" si="6"/>
        <v>-1.7000000000000051</v>
      </c>
      <c r="B45">
        <f t="shared" si="2"/>
        <v>0.2821472321306584</v>
      </c>
      <c r="C45">
        <f t="shared" si="3"/>
        <v>0</v>
      </c>
      <c r="M45">
        <f t="shared" si="5"/>
        <v>-0.60000000000000098</v>
      </c>
      <c r="N45">
        <f t="shared" si="1"/>
        <v>-0.49828604413154531</v>
      </c>
    </row>
    <row r="46" spans="1:14" x14ac:dyDescent="0.25">
      <c r="A46">
        <f t="shared" si="6"/>
        <v>-1.600000000000005</v>
      </c>
      <c r="B46">
        <f t="shared" si="2"/>
        <v>0.33276250403836405</v>
      </c>
      <c r="C46">
        <f t="shared" si="3"/>
        <v>0</v>
      </c>
      <c r="M46">
        <f t="shared" si="5"/>
        <v>-0.500000000000001</v>
      </c>
      <c r="N46">
        <f t="shared" si="1"/>
        <v>-0.65328604413154534</v>
      </c>
    </row>
    <row r="47" spans="1:14" x14ac:dyDescent="0.25">
      <c r="A47">
        <f t="shared" si="6"/>
        <v>-1.5000000000000049</v>
      </c>
      <c r="B47">
        <f t="shared" si="2"/>
        <v>0.38855278699767237</v>
      </c>
      <c r="C47">
        <f t="shared" si="3"/>
        <v>0</v>
      </c>
      <c r="M47">
        <f t="shared" si="5"/>
        <v>-0.40000000000000102</v>
      </c>
      <c r="N47">
        <f t="shared" si="1"/>
        <v>-0.79828604413154547</v>
      </c>
    </row>
    <row r="48" spans="1:14" x14ac:dyDescent="0.25">
      <c r="A48">
        <f t="shared" si="6"/>
        <v>-1.4000000000000048</v>
      </c>
      <c r="B48">
        <f t="shared" si="2"/>
        <v>0.44918239690723161</v>
      </c>
      <c r="C48">
        <f t="shared" si="3"/>
        <v>0</v>
      </c>
      <c r="M48">
        <f t="shared" si="5"/>
        <v>-0.30000000000000104</v>
      </c>
      <c r="N48">
        <f t="shared" si="1"/>
        <v>-0.93328604413154559</v>
      </c>
    </row>
    <row r="49" spans="1:14" x14ac:dyDescent="0.25">
      <c r="A49">
        <f t="shared" si="6"/>
        <v>-1.3000000000000047</v>
      </c>
      <c r="B49">
        <f t="shared" si="2"/>
        <v>0.51410577614341901</v>
      </c>
      <c r="C49">
        <f t="shared" si="3"/>
        <v>0</v>
      </c>
      <c r="M49">
        <f t="shared" si="5"/>
        <v>-0.20000000000000104</v>
      </c>
      <c r="N49">
        <f t="shared" si="1"/>
        <v>-1.0582860441315456</v>
      </c>
    </row>
    <row r="50" spans="1:14" x14ac:dyDescent="0.25">
      <c r="A50">
        <f t="shared" si="6"/>
        <v>-1.2000000000000046</v>
      </c>
      <c r="B50">
        <f t="shared" si="2"/>
        <v>0.58255816494963564</v>
      </c>
      <c r="C50">
        <f t="shared" si="3"/>
        <v>0</v>
      </c>
      <c r="M50">
        <f t="shared" si="5"/>
        <v>-0.10000000000000103</v>
      </c>
      <c r="N50">
        <f t="shared" si="1"/>
        <v>-1.1732860441315458</v>
      </c>
    </row>
    <row r="51" spans="1:14" x14ac:dyDescent="0.25">
      <c r="A51">
        <f t="shared" si="6"/>
        <v>-1.1000000000000045</v>
      </c>
      <c r="B51">
        <f t="shared" si="2"/>
        <v>0.65355653109764844</v>
      </c>
      <c r="C51">
        <f t="shared" si="3"/>
        <v>0</v>
      </c>
      <c r="M51">
        <f t="shared" si="5"/>
        <v>-1.0269562977782698E-15</v>
      </c>
      <c r="N51">
        <f t="shared" si="1"/>
        <v>-1.2782860441315458</v>
      </c>
    </row>
    <row r="52" spans="1:14" x14ac:dyDescent="0.25">
      <c r="A52">
        <f t="shared" si="6"/>
        <v>-1.0000000000000044</v>
      </c>
      <c r="B52">
        <f t="shared" si="2"/>
        <v>0.72591217355742699</v>
      </c>
      <c r="C52">
        <f t="shared" si="3"/>
        <v>0</v>
      </c>
      <c r="M52">
        <f t="shared" si="5"/>
        <v>9.9999999999998979E-2</v>
      </c>
      <c r="N52">
        <f t="shared" si="1"/>
        <v>-1.373286044131546</v>
      </c>
    </row>
    <row r="53" spans="1:14" x14ac:dyDescent="0.25">
      <c r="A53">
        <f t="shared" si="6"/>
        <v>-0.90000000000000446</v>
      </c>
      <c r="B53">
        <f t="shared" si="2"/>
        <v>0.79825574969626134</v>
      </c>
      <c r="C53">
        <f t="shared" si="3"/>
        <v>0</v>
      </c>
      <c r="M53">
        <f t="shared" si="5"/>
        <v>0.19999999999999898</v>
      </c>
      <c r="N53">
        <f t="shared" si="1"/>
        <v>-1.4582860441315462</v>
      </c>
    </row>
    <row r="54" spans="1:14" x14ac:dyDescent="0.25">
      <c r="A54">
        <f t="shared" si="6"/>
        <v>-0.80000000000000449</v>
      </c>
      <c r="B54">
        <f t="shared" si="2"/>
        <v>0.86907465828444519</v>
      </c>
      <c r="C54">
        <f t="shared" si="3"/>
        <v>0</v>
      </c>
      <c r="M54">
        <f t="shared" si="5"/>
        <v>0.29999999999999899</v>
      </c>
      <c r="N54">
        <f t="shared" si="1"/>
        <v>-1.5332860441315461</v>
      </c>
    </row>
    <row r="55" spans="1:14" x14ac:dyDescent="0.25">
      <c r="A55">
        <f t="shared" si="6"/>
        <v>-0.70000000000000451</v>
      </c>
      <c r="B55">
        <f t="shared" si="2"/>
        <v>0.93676180010028087</v>
      </c>
      <c r="C55">
        <f t="shared" si="3"/>
        <v>0</v>
      </c>
      <c r="M55">
        <f t="shared" si="5"/>
        <v>0.39999999999999902</v>
      </c>
      <c r="N55">
        <f t="shared" si="1"/>
        <v>-1.5982860441315463</v>
      </c>
    </row>
    <row r="56" spans="1:14" x14ac:dyDescent="0.25">
      <c r="A56">
        <f t="shared" si="6"/>
        <v>-0.60000000000000453</v>
      </c>
      <c r="B56">
        <f t="shared" si="2"/>
        <v>0.99967380867539635</v>
      </c>
      <c r="C56">
        <f t="shared" si="3"/>
        <v>0</v>
      </c>
      <c r="M56">
        <f t="shared" si="5"/>
        <v>0.499999999999999</v>
      </c>
      <c r="N56">
        <f t="shared" si="1"/>
        <v>-1.6532860441315465</v>
      </c>
    </row>
    <row r="57" spans="1:14" x14ac:dyDescent="0.25">
      <c r="A57">
        <f t="shared" si="6"/>
        <v>-0.50000000000000455</v>
      </c>
      <c r="B57">
        <f t="shared" si="2"/>
        <v>1.0561959802928962</v>
      </c>
      <c r="C57">
        <f t="shared" si="3"/>
        <v>0</v>
      </c>
      <c r="M57">
        <f t="shared" si="5"/>
        <v>0.59999999999999898</v>
      </c>
      <c r="N57">
        <f t="shared" si="1"/>
        <v>-1.6982860441315464</v>
      </c>
    </row>
    <row r="58" spans="1:14" x14ac:dyDescent="0.25">
      <c r="A58">
        <f t="shared" si="6"/>
        <v>-0.40000000000000457</v>
      </c>
      <c r="B58">
        <f t="shared" si="2"/>
        <v>1.1048104209099681</v>
      </c>
      <c r="C58">
        <f t="shared" si="3"/>
        <v>0</v>
      </c>
      <c r="M58">
        <f t="shared" si="5"/>
        <v>0.69999999999999896</v>
      </c>
      <c r="N58">
        <f t="shared" si="1"/>
        <v>-1.7332860441315465</v>
      </c>
    </row>
    <row r="59" spans="1:14" x14ac:dyDescent="0.25">
      <c r="A59">
        <f t="shared" si="6"/>
        <v>-0.3000000000000046</v>
      </c>
      <c r="B59">
        <f t="shared" si="2"/>
        <v>1.1441634463815709</v>
      </c>
      <c r="C59">
        <f t="shared" si="3"/>
        <v>0</v>
      </c>
      <c r="M59">
        <f t="shared" si="5"/>
        <v>0.79999999999999893</v>
      </c>
      <c r="N59">
        <f t="shared" si="1"/>
        <v>-1.7582860441315467</v>
      </c>
    </row>
    <row r="60" spans="1:14" x14ac:dyDescent="0.25">
      <c r="A60">
        <f t="shared" si="6"/>
        <v>-0.20000000000000459</v>
      </c>
      <c r="B60">
        <f t="shared" si="2"/>
        <v>1.1731280819263668</v>
      </c>
      <c r="C60">
        <f t="shared" si="3"/>
        <v>0</v>
      </c>
      <c r="M60">
        <f t="shared" si="5"/>
        <v>0.89999999999999891</v>
      </c>
      <c r="N60">
        <f t="shared" si="1"/>
        <v>-1.7732860441315468</v>
      </c>
    </row>
    <row r="61" spans="1:14" x14ac:dyDescent="0.25">
      <c r="A61">
        <f t="shared" si="6"/>
        <v>-0.10000000000000459</v>
      </c>
      <c r="B61">
        <f t="shared" si="2"/>
        <v>1.1908576424310349</v>
      </c>
      <c r="C61">
        <f t="shared" si="3"/>
        <v>0</v>
      </c>
      <c r="M61">
        <f t="shared" si="5"/>
        <v>0.99999999999999889</v>
      </c>
      <c r="N61">
        <f t="shared" si="1"/>
        <v>-1.7782860441315469</v>
      </c>
    </row>
    <row r="62" spans="1:14" x14ac:dyDescent="0.25">
      <c r="A62">
        <f>0</f>
        <v>0</v>
      </c>
      <c r="B62">
        <f t="shared" si="2"/>
        <v>1.1968268412042982</v>
      </c>
      <c r="C62">
        <f t="shared" si="3"/>
        <v>1</v>
      </c>
      <c r="M62">
        <f t="shared" si="5"/>
        <v>1.099999999999999</v>
      </c>
      <c r="N62">
        <f t="shared" si="1"/>
        <v>-1.773286044131547</v>
      </c>
    </row>
    <row r="63" spans="1:14" x14ac:dyDescent="0.25">
      <c r="A63">
        <f t="shared" si="6"/>
        <v>0.1</v>
      </c>
      <c r="B63">
        <f t="shared" si="2"/>
        <v>1.1908576424310355</v>
      </c>
      <c r="C63">
        <f t="shared" si="3"/>
        <v>0.90483741803595952</v>
      </c>
      <c r="M63">
        <f t="shared" si="5"/>
        <v>1.1999999999999991</v>
      </c>
      <c r="N63">
        <f t="shared" si="1"/>
        <v>-1.7582860441315471</v>
      </c>
    </row>
    <row r="64" spans="1:14" x14ac:dyDescent="0.25">
      <c r="A64">
        <f t="shared" si="6"/>
        <v>0.2</v>
      </c>
      <c r="B64">
        <f t="shared" si="2"/>
        <v>1.1731280819263676</v>
      </c>
      <c r="C64">
        <f t="shared" si="3"/>
        <v>0.81873075307798182</v>
      </c>
      <c r="M64">
        <f t="shared" si="5"/>
        <v>1.2999999999999992</v>
      </c>
      <c r="N64">
        <f t="shared" si="1"/>
        <v>-1.7332860441315472</v>
      </c>
    </row>
    <row r="65" spans="1:14" x14ac:dyDescent="0.25">
      <c r="A65">
        <f t="shared" si="6"/>
        <v>0.30000000000000004</v>
      </c>
      <c r="B65">
        <f t="shared" si="2"/>
        <v>1.1441634463815724</v>
      </c>
      <c r="C65">
        <f t="shared" si="3"/>
        <v>0.74081822068171788</v>
      </c>
      <c r="M65">
        <f t="shared" si="5"/>
        <v>1.3999999999999992</v>
      </c>
      <c r="N65">
        <f t="shared" si="1"/>
        <v>-1.6982860441315473</v>
      </c>
    </row>
    <row r="66" spans="1:14" x14ac:dyDescent="0.25">
      <c r="A66">
        <f t="shared" si="6"/>
        <v>0.4</v>
      </c>
      <c r="B66">
        <f t="shared" si="2"/>
        <v>1.1048104209099701</v>
      </c>
      <c r="C66">
        <f t="shared" si="3"/>
        <v>0.67032004603563933</v>
      </c>
      <c r="M66">
        <f t="shared" si="5"/>
        <v>1.4999999999999993</v>
      </c>
      <c r="N66">
        <f t="shared" ref="N66:N91" si="7">M66*M66/2-M66+LN(1/$G$1)</f>
        <v>-1.6532860441315471</v>
      </c>
    </row>
    <row r="67" spans="1:14" x14ac:dyDescent="0.25">
      <c r="A67">
        <f t="shared" si="6"/>
        <v>0.5</v>
      </c>
      <c r="B67">
        <f t="shared" ref="B67:B130" si="8">$E$1*EXP(-(A67*A67)/2)</f>
        <v>1.0561959802928986</v>
      </c>
      <c r="C67">
        <f t="shared" ref="C67:C130" si="9">IF(A67&lt;0, 0, EXP(-A67))</f>
        <v>0.60653065971263342</v>
      </c>
      <c r="M67">
        <f t="shared" ref="M67" si="10">M66+0.1</f>
        <v>1.5999999999999994</v>
      </c>
      <c r="N67">
        <f t="shared" si="7"/>
        <v>-1.5982860441315472</v>
      </c>
    </row>
    <row r="68" spans="1:14" x14ac:dyDescent="0.25">
      <c r="A68">
        <f t="shared" ref="A68:A131" si="11">A67+0.1</f>
        <v>0.6</v>
      </c>
      <c r="B68">
        <f t="shared" si="8"/>
        <v>0.99967380867539901</v>
      </c>
      <c r="C68">
        <f t="shared" si="9"/>
        <v>0.54881163609402639</v>
      </c>
      <c r="M68">
        <f>M67+0.1</f>
        <v>1.6999999999999995</v>
      </c>
      <c r="N68">
        <f t="shared" si="7"/>
        <v>-1.5332860441315472</v>
      </c>
    </row>
    <row r="69" spans="1:14" x14ac:dyDescent="0.25">
      <c r="A69">
        <f t="shared" si="11"/>
        <v>0.7</v>
      </c>
      <c r="B69">
        <f t="shared" si="8"/>
        <v>0.93676180010028387</v>
      </c>
      <c r="C69">
        <f t="shared" si="9"/>
        <v>0.49658530379140953</v>
      </c>
      <c r="M69">
        <f t="shared" ref="M69:M88" si="12">M68+0.1</f>
        <v>1.7999999999999996</v>
      </c>
      <c r="N69">
        <f t="shared" si="7"/>
        <v>-1.4582860441315473</v>
      </c>
    </row>
    <row r="70" spans="1:14" x14ac:dyDescent="0.25">
      <c r="A70">
        <f t="shared" si="11"/>
        <v>0.79999999999999993</v>
      </c>
      <c r="B70">
        <f t="shared" si="8"/>
        <v>0.8690746582844483</v>
      </c>
      <c r="C70">
        <f t="shared" si="9"/>
        <v>0.44932896411722162</v>
      </c>
      <c r="M70">
        <f t="shared" si="12"/>
        <v>1.8999999999999997</v>
      </c>
      <c r="N70">
        <f t="shared" si="7"/>
        <v>-1.3732860441315471</v>
      </c>
    </row>
    <row r="71" spans="1:14" x14ac:dyDescent="0.25">
      <c r="A71">
        <f t="shared" si="11"/>
        <v>0.89999999999999991</v>
      </c>
      <c r="B71">
        <f t="shared" si="8"/>
        <v>0.79825574969626467</v>
      </c>
      <c r="C71">
        <f t="shared" si="9"/>
        <v>0.40656965974059917</v>
      </c>
      <c r="M71">
        <f t="shared" si="12"/>
        <v>1.9999999999999998</v>
      </c>
      <c r="N71">
        <f t="shared" si="7"/>
        <v>-1.2782860441315471</v>
      </c>
    </row>
    <row r="72" spans="1:14" x14ac:dyDescent="0.25">
      <c r="A72">
        <f t="shared" si="11"/>
        <v>0.99999999999999989</v>
      </c>
      <c r="B72">
        <f t="shared" si="8"/>
        <v>0.72591217355743021</v>
      </c>
      <c r="C72">
        <f t="shared" si="9"/>
        <v>0.36787944117144239</v>
      </c>
      <c r="M72">
        <f t="shared" si="12"/>
        <v>2.0999999999999996</v>
      </c>
      <c r="N72">
        <f t="shared" si="7"/>
        <v>-1.1732860441315474</v>
      </c>
    </row>
    <row r="73" spans="1:14" x14ac:dyDescent="0.25">
      <c r="A73">
        <f t="shared" si="11"/>
        <v>1.0999999999999999</v>
      </c>
      <c r="B73">
        <f t="shared" si="8"/>
        <v>0.65355653109765177</v>
      </c>
      <c r="C73">
        <f t="shared" si="9"/>
        <v>0.33287108369807961</v>
      </c>
      <c r="M73">
        <f t="shared" si="12"/>
        <v>2.1999999999999997</v>
      </c>
      <c r="N73">
        <f t="shared" si="7"/>
        <v>-1.0582860441315471</v>
      </c>
    </row>
    <row r="74" spans="1:14" x14ac:dyDescent="0.25">
      <c r="A74">
        <f t="shared" si="11"/>
        <v>1.2</v>
      </c>
      <c r="B74">
        <f t="shared" si="8"/>
        <v>0.58255816494963897</v>
      </c>
      <c r="C74">
        <f t="shared" si="9"/>
        <v>0.30119421191220214</v>
      </c>
      <c r="M74">
        <f t="shared" si="12"/>
        <v>2.2999999999999998</v>
      </c>
      <c r="N74">
        <f t="shared" si="7"/>
        <v>-0.93328604413154714</v>
      </c>
    </row>
    <row r="75" spans="1:14" x14ac:dyDescent="0.25">
      <c r="A75">
        <f t="shared" si="11"/>
        <v>1.3</v>
      </c>
      <c r="B75">
        <f t="shared" si="8"/>
        <v>0.51410577614342201</v>
      </c>
      <c r="C75">
        <f t="shared" si="9"/>
        <v>0.27253179303401259</v>
      </c>
      <c r="M75">
        <f t="shared" si="12"/>
        <v>2.4</v>
      </c>
      <c r="N75">
        <f t="shared" si="7"/>
        <v>-0.79828604413154691</v>
      </c>
    </row>
    <row r="76" spans="1:14" x14ac:dyDescent="0.25">
      <c r="A76">
        <f t="shared" si="11"/>
        <v>1.4000000000000001</v>
      </c>
      <c r="B76">
        <f t="shared" si="8"/>
        <v>0.44918239690723449</v>
      </c>
      <c r="C76">
        <f t="shared" si="9"/>
        <v>0.24659696394160643</v>
      </c>
      <c r="M76">
        <f t="shared" si="12"/>
        <v>2.5</v>
      </c>
      <c r="N76">
        <f t="shared" si="7"/>
        <v>-0.65328604413154689</v>
      </c>
    </row>
    <row r="77" spans="1:14" x14ac:dyDescent="0.25">
      <c r="A77">
        <f t="shared" si="11"/>
        <v>1.5000000000000002</v>
      </c>
      <c r="B77">
        <f t="shared" si="8"/>
        <v>0.38855278699767504</v>
      </c>
      <c r="C77">
        <f t="shared" si="9"/>
        <v>0.22313016014842979</v>
      </c>
      <c r="M77">
        <f t="shared" si="12"/>
        <v>2.6</v>
      </c>
      <c r="N77">
        <f t="shared" si="7"/>
        <v>-0.49828604413154665</v>
      </c>
    </row>
    <row r="78" spans="1:14" x14ac:dyDescent="0.25">
      <c r="A78">
        <f t="shared" si="11"/>
        <v>1.6000000000000003</v>
      </c>
      <c r="B78">
        <f t="shared" si="8"/>
        <v>0.3327625040383666</v>
      </c>
      <c r="C78">
        <f t="shared" si="9"/>
        <v>0.20189651799465536</v>
      </c>
      <c r="M78">
        <f t="shared" si="12"/>
        <v>2.7</v>
      </c>
      <c r="N78">
        <f t="shared" si="7"/>
        <v>-0.33328604413154661</v>
      </c>
    </row>
    <row r="79" spans="1:14" x14ac:dyDescent="0.25">
      <c r="A79">
        <f t="shared" si="11"/>
        <v>1.7000000000000004</v>
      </c>
      <c r="B79">
        <f t="shared" si="8"/>
        <v>0.28214723213066056</v>
      </c>
      <c r="C79">
        <f t="shared" si="9"/>
        <v>0.18268352405273458</v>
      </c>
      <c r="M79">
        <f t="shared" si="12"/>
        <v>2.8000000000000003</v>
      </c>
      <c r="N79">
        <f t="shared" si="7"/>
        <v>-0.15828604413154634</v>
      </c>
    </row>
    <row r="80" spans="1:14" x14ac:dyDescent="0.25">
      <c r="A80">
        <f t="shared" si="11"/>
        <v>1.8000000000000005</v>
      </c>
      <c r="B80">
        <f t="shared" si="8"/>
        <v>0.2368504749026823</v>
      </c>
      <c r="C80">
        <f t="shared" si="9"/>
        <v>0.16529888822158645</v>
      </c>
      <c r="M80">
        <f t="shared" si="12"/>
        <v>2.9000000000000004</v>
      </c>
      <c r="N80">
        <f t="shared" si="7"/>
        <v>2.6713955868453709E-2</v>
      </c>
    </row>
    <row r="81" spans="1:14" x14ac:dyDescent="0.25">
      <c r="A81">
        <f t="shared" si="11"/>
        <v>1.9000000000000006</v>
      </c>
      <c r="B81">
        <f t="shared" si="8"/>
        <v>0.19684744432402959</v>
      </c>
      <c r="C81">
        <f t="shared" si="9"/>
        <v>0.14956861922263498</v>
      </c>
      <c r="M81">
        <f t="shared" si="12"/>
        <v>3.0000000000000004</v>
      </c>
      <c r="N81">
        <f t="shared" si="7"/>
        <v>0.22171395586845444</v>
      </c>
    </row>
    <row r="82" spans="1:14" x14ac:dyDescent="0.25">
      <c r="A82">
        <f t="shared" si="11"/>
        <v>2.0000000000000004</v>
      </c>
      <c r="B82">
        <f t="shared" si="8"/>
        <v>0.16197289953956401</v>
      </c>
      <c r="C82">
        <f t="shared" si="9"/>
        <v>0.13533528323661262</v>
      </c>
      <c r="M82">
        <f t="shared" si="12"/>
        <v>3.1000000000000005</v>
      </c>
      <c r="N82">
        <f t="shared" si="7"/>
        <v>0.42671395586845406</v>
      </c>
    </row>
    <row r="83" spans="1:14" x14ac:dyDescent="0.25">
      <c r="A83">
        <f t="shared" si="11"/>
        <v>2.1000000000000005</v>
      </c>
      <c r="B83">
        <f t="shared" si="8"/>
        <v>0.13195078794128146</v>
      </c>
      <c r="C83">
        <f t="shared" si="9"/>
        <v>0.12245642825298185</v>
      </c>
      <c r="M83">
        <f t="shared" si="12"/>
        <v>3.2000000000000006</v>
      </c>
      <c r="N83">
        <f t="shared" si="7"/>
        <v>0.64171395586845437</v>
      </c>
    </row>
    <row r="84" spans="1:14" x14ac:dyDescent="0.25">
      <c r="A84">
        <f t="shared" si="11"/>
        <v>2.2000000000000006</v>
      </c>
      <c r="B84">
        <f t="shared" si="8"/>
        <v>0.10642377853869418</v>
      </c>
      <c r="C84">
        <f t="shared" si="9"/>
        <v>0.11080315836233381</v>
      </c>
      <c r="M84">
        <f t="shared" si="12"/>
        <v>3.3000000000000007</v>
      </c>
      <c r="N84">
        <f t="shared" si="7"/>
        <v>0.86671395586845446</v>
      </c>
    </row>
    <row r="85" spans="1:14" x14ac:dyDescent="0.25">
      <c r="A85">
        <f t="shared" si="11"/>
        <v>2.3000000000000007</v>
      </c>
      <c r="B85">
        <f t="shared" si="8"/>
        <v>8.4981113224803367E-2</v>
      </c>
      <c r="C85">
        <f t="shared" si="9"/>
        <v>0.10025884372280366</v>
      </c>
      <c r="M85">
        <f t="shared" si="12"/>
        <v>3.4000000000000008</v>
      </c>
      <c r="N85">
        <f t="shared" si="7"/>
        <v>1.1017139558684552</v>
      </c>
    </row>
    <row r="86" spans="1:14" x14ac:dyDescent="0.25">
      <c r="A86">
        <f t="shared" si="11"/>
        <v>2.4000000000000008</v>
      </c>
      <c r="B86">
        <f t="shared" si="8"/>
        <v>6.7183590884528549E-2</v>
      </c>
      <c r="C86">
        <f t="shared" si="9"/>
        <v>9.0717953289412429E-2</v>
      </c>
      <c r="M86">
        <f t="shared" si="12"/>
        <v>3.5000000000000009</v>
      </c>
      <c r="N86">
        <f t="shared" si="7"/>
        <v>1.3467139558684558</v>
      </c>
    </row>
    <row r="87" spans="1:14" x14ac:dyDescent="0.25">
      <c r="A87">
        <f t="shared" si="11"/>
        <v>2.5000000000000009</v>
      </c>
      <c r="B87">
        <f t="shared" si="8"/>
        <v>5.2584901480705507E-2</v>
      </c>
      <c r="C87">
        <f t="shared" si="9"/>
        <v>8.2084998623898717E-2</v>
      </c>
      <c r="M87">
        <f t="shared" si="12"/>
        <v>3.600000000000001</v>
      </c>
      <c r="N87">
        <f t="shared" si="7"/>
        <v>1.6017139558684552</v>
      </c>
    </row>
    <row r="88" spans="1:14" x14ac:dyDescent="0.25">
      <c r="A88">
        <f t="shared" si="11"/>
        <v>2.600000000000001</v>
      </c>
      <c r="B88">
        <f t="shared" si="8"/>
        <v>4.0748907701056748E-2</v>
      </c>
      <c r="C88">
        <f t="shared" si="9"/>
        <v>7.4273578214333807E-2</v>
      </c>
      <c r="M88">
        <f t="shared" si="12"/>
        <v>3.7000000000000011</v>
      </c>
      <c r="N88">
        <f t="shared" si="7"/>
        <v>1.8667139558684562</v>
      </c>
    </row>
    <row r="89" spans="1:14" x14ac:dyDescent="0.25">
      <c r="A89">
        <f t="shared" si="11"/>
        <v>2.7000000000000011</v>
      </c>
      <c r="B89">
        <f t="shared" si="8"/>
        <v>3.1262804443267705E-2</v>
      </c>
      <c r="C89">
        <f t="shared" si="9"/>
        <v>6.7205512739749687E-2</v>
      </c>
      <c r="M89">
        <f>M88+0.1</f>
        <v>3.8000000000000012</v>
      </c>
      <c r="N89">
        <f t="shared" si="7"/>
        <v>2.1417139558684561</v>
      </c>
    </row>
    <row r="90" spans="1:14" x14ac:dyDescent="0.25">
      <c r="A90">
        <f t="shared" si="11"/>
        <v>2.8000000000000012</v>
      </c>
      <c r="B90">
        <f t="shared" si="8"/>
        <v>2.3746354748939817E-2</v>
      </c>
      <c r="C90">
        <f t="shared" si="9"/>
        <v>6.0810062625217896E-2</v>
      </c>
      <c r="M90">
        <f t="shared" ref="M90:M91" si="13">M89+0.1</f>
        <v>3.9000000000000012</v>
      </c>
      <c r="N90">
        <f t="shared" si="7"/>
        <v>2.4267139558684567</v>
      </c>
    </row>
    <row r="91" spans="1:14" x14ac:dyDescent="0.25">
      <c r="A91">
        <f t="shared" si="11"/>
        <v>2.9000000000000012</v>
      </c>
      <c r="B91">
        <f t="shared" si="8"/>
        <v>1.7857597259327496E-2</v>
      </c>
      <c r="C91">
        <f t="shared" si="9"/>
        <v>5.5023220056407161E-2</v>
      </c>
      <c r="M91">
        <f t="shared" si="13"/>
        <v>4.0000000000000009</v>
      </c>
      <c r="N91">
        <f t="shared" si="7"/>
        <v>2.7217139558684558</v>
      </c>
    </row>
    <row r="92" spans="1:14" x14ac:dyDescent="0.25">
      <c r="A92">
        <f t="shared" si="11"/>
        <v>3.0000000000000013</v>
      </c>
      <c r="B92">
        <f t="shared" si="8"/>
        <v>1.3295545235813975E-2</v>
      </c>
      <c r="C92">
        <f t="shared" si="9"/>
        <v>4.9787068367863875E-2</v>
      </c>
    </row>
    <row r="93" spans="1:14" x14ac:dyDescent="0.25">
      <c r="A93">
        <f t="shared" si="11"/>
        <v>3.1000000000000014</v>
      </c>
      <c r="B93">
        <f t="shared" si="8"/>
        <v>9.800457168599723E-3</v>
      </c>
      <c r="C93">
        <f t="shared" si="9"/>
        <v>4.5049202393557745E-2</v>
      </c>
    </row>
    <row r="94" spans="1:14" x14ac:dyDescent="0.25">
      <c r="A94">
        <f t="shared" si="11"/>
        <v>3.2000000000000015</v>
      </c>
      <c r="B94">
        <f t="shared" si="8"/>
        <v>7.1522646043944956E-3</v>
      </c>
      <c r="C94">
        <f t="shared" si="9"/>
        <v>4.0762203978366156E-2</v>
      </c>
    </row>
    <row r="95" spans="1:14" x14ac:dyDescent="0.25">
      <c r="A95">
        <f t="shared" si="11"/>
        <v>3.3000000000000016</v>
      </c>
      <c r="B95">
        <f t="shared" si="8"/>
        <v>5.1677068171610118E-3</v>
      </c>
      <c r="C95">
        <f t="shared" si="9"/>
        <v>3.6883167401239945E-2</v>
      </c>
    </row>
    <row r="96" spans="1:14" x14ac:dyDescent="0.25">
      <c r="A96">
        <f t="shared" si="11"/>
        <v>3.4000000000000017</v>
      </c>
      <c r="B96">
        <f t="shared" si="8"/>
        <v>3.6966575054190364E-3</v>
      </c>
      <c r="C96">
        <f t="shared" si="9"/>
        <v>3.3373269960326024E-2</v>
      </c>
    </row>
    <row r="97" spans="1:3" x14ac:dyDescent="0.25">
      <c r="A97">
        <f t="shared" si="11"/>
        <v>3.5000000000000018</v>
      </c>
      <c r="B97">
        <f t="shared" si="8"/>
        <v>2.6180480851372644E-3</v>
      </c>
      <c r="C97">
        <f t="shared" si="9"/>
        <v>3.0197383422318449E-2</v>
      </c>
    </row>
    <row r="98" spans="1:3" x14ac:dyDescent="0.25">
      <c r="A98">
        <f t="shared" si="11"/>
        <v>3.6000000000000019</v>
      </c>
      <c r="B98">
        <f t="shared" si="8"/>
        <v>1.8357057903413043E-3</v>
      </c>
      <c r="C98">
        <f t="shared" si="9"/>
        <v>2.732372244729251E-2</v>
      </c>
    </row>
    <row r="99" spans="1:3" x14ac:dyDescent="0.25">
      <c r="A99">
        <f t="shared" si="11"/>
        <v>3.700000000000002</v>
      </c>
      <c r="B99">
        <f t="shared" si="8"/>
        <v>1.2743408116522464E-3</v>
      </c>
      <c r="C99">
        <f t="shared" si="9"/>
        <v>2.4723526470339343E-2</v>
      </c>
    </row>
    <row r="100" spans="1:3" x14ac:dyDescent="0.25">
      <c r="A100">
        <f t="shared" si="11"/>
        <v>3.800000000000002</v>
      </c>
      <c r="B100">
        <f t="shared" si="8"/>
        <v>8.7584077737437387E-4</v>
      </c>
      <c r="C100">
        <f t="shared" si="9"/>
        <v>2.2370771856165549E-2</v>
      </c>
    </row>
    <row r="101" spans="1:3" x14ac:dyDescent="0.25">
      <c r="A101">
        <f t="shared" si="11"/>
        <v>3.9000000000000021</v>
      </c>
      <c r="B101">
        <f t="shared" si="8"/>
        <v>5.9596641417831281E-4</v>
      </c>
      <c r="C101">
        <f t="shared" si="9"/>
        <v>2.0241911445804346E-2</v>
      </c>
    </row>
    <row r="102" spans="1:3" x14ac:dyDescent="0.25">
      <c r="A102">
        <f t="shared" si="11"/>
        <v>4.0000000000000018</v>
      </c>
      <c r="B102">
        <f t="shared" si="8"/>
        <v>4.0149067729465326E-4</v>
      </c>
      <c r="C102">
        <f t="shared" si="9"/>
        <v>1.8315638888734147E-2</v>
      </c>
    </row>
    <row r="103" spans="1:3" x14ac:dyDescent="0.25">
      <c r="A103">
        <f t="shared" si="11"/>
        <v>4.1000000000000014</v>
      </c>
      <c r="B103">
        <f t="shared" si="8"/>
        <v>2.6778497153139691E-4</v>
      </c>
      <c r="C103">
        <f t="shared" si="9"/>
        <v>1.6572675401761224E-2</v>
      </c>
    </row>
    <row r="104" spans="1:3" x14ac:dyDescent="0.25">
      <c r="A104">
        <f t="shared" si="11"/>
        <v>4.2000000000000011</v>
      </c>
      <c r="B104">
        <f t="shared" si="8"/>
        <v>1.7682920326961895E-4</v>
      </c>
      <c r="C104">
        <f t="shared" si="9"/>
        <v>1.4995576820477691E-2</v>
      </c>
    </row>
    <row r="105" spans="1:3" x14ac:dyDescent="0.25">
      <c r="A105">
        <f t="shared" si="11"/>
        <v>4.3000000000000007</v>
      </c>
      <c r="B105">
        <f t="shared" si="8"/>
        <v>1.1560559022626099E-4</v>
      </c>
      <c r="C105">
        <f t="shared" si="9"/>
        <v>1.3568559012200922E-2</v>
      </c>
    </row>
    <row r="106" spans="1:3" x14ac:dyDescent="0.25">
      <c r="A106">
        <f t="shared" si="11"/>
        <v>4.4000000000000004</v>
      </c>
      <c r="B106">
        <f t="shared" si="8"/>
        <v>7.4827413870160603E-5</v>
      </c>
      <c r="C106">
        <f t="shared" si="9"/>
        <v>1.2277339903068436E-2</v>
      </c>
    </row>
    <row r="107" spans="1:3" x14ac:dyDescent="0.25">
      <c r="A107">
        <f t="shared" si="11"/>
        <v>4.5</v>
      </c>
      <c r="B107">
        <f t="shared" si="8"/>
        <v>4.7951223320716427E-5</v>
      </c>
      <c r="C107">
        <f t="shared" si="9"/>
        <v>1.1108996538242306E-2</v>
      </c>
    </row>
    <row r="108" spans="1:3" x14ac:dyDescent="0.25">
      <c r="A108">
        <f t="shared" si="11"/>
        <v>4.5999999999999996</v>
      </c>
      <c r="B108">
        <f t="shared" si="8"/>
        <v>3.0422556196460278E-5</v>
      </c>
      <c r="C108">
        <f t="shared" si="9"/>
        <v>1.0051835744633586E-2</v>
      </c>
    </row>
    <row r="109" spans="1:3" x14ac:dyDescent="0.25">
      <c r="A109">
        <f t="shared" si="11"/>
        <v>4.6999999999999993</v>
      </c>
      <c r="B109">
        <f t="shared" si="8"/>
        <v>1.9109475536601371E-5</v>
      </c>
      <c r="C109">
        <f t="shared" si="9"/>
        <v>9.0952771016958242E-3</v>
      </c>
    </row>
    <row r="110" spans="1:3" x14ac:dyDescent="0.25">
      <c r="A110">
        <f t="shared" si="11"/>
        <v>4.7999999999999989</v>
      </c>
      <c r="B110">
        <f t="shared" si="8"/>
        <v>1.188389727309629E-5</v>
      </c>
      <c r="C110">
        <f t="shared" si="9"/>
        <v>8.2297470490200371E-3</v>
      </c>
    </row>
    <row r="111" spans="1:3" x14ac:dyDescent="0.25">
      <c r="A111">
        <f t="shared" si="11"/>
        <v>4.8999999999999986</v>
      </c>
      <c r="B111">
        <f t="shared" si="8"/>
        <v>7.3168822376801217E-6</v>
      </c>
      <c r="C111">
        <f t="shared" si="9"/>
        <v>7.4465830709243511E-3</v>
      </c>
    </row>
    <row r="112" spans="1:3" x14ac:dyDescent="0.25">
      <c r="A112">
        <f t="shared" si="11"/>
        <v>4.9999999999999982</v>
      </c>
      <c r="B112">
        <f t="shared" si="8"/>
        <v>4.4601585442029335E-6</v>
      </c>
      <c r="C112">
        <f t="shared" si="9"/>
        <v>6.7379469990854791E-3</v>
      </c>
    </row>
    <row r="113" spans="1:3" x14ac:dyDescent="0.25">
      <c r="A113">
        <f t="shared" si="11"/>
        <v>5.0999999999999979</v>
      </c>
      <c r="B113">
        <f t="shared" si="8"/>
        <v>2.6917305487150299E-6</v>
      </c>
      <c r="C113">
        <f t="shared" si="9"/>
        <v>6.0967465655156492E-3</v>
      </c>
    </row>
    <row r="114" spans="1:3" x14ac:dyDescent="0.25">
      <c r="A114">
        <f t="shared" si="11"/>
        <v>5.1999999999999975</v>
      </c>
      <c r="B114">
        <f t="shared" si="8"/>
        <v>1.6083106034093072E-6</v>
      </c>
      <c r="C114">
        <f t="shared" si="9"/>
        <v>5.5165644207607863E-3</v>
      </c>
    </row>
    <row r="115" spans="1:3" x14ac:dyDescent="0.25">
      <c r="A115">
        <f t="shared" si="11"/>
        <v>5.2999999999999972</v>
      </c>
      <c r="B115">
        <f t="shared" si="8"/>
        <v>9.5140476501480617E-7</v>
      </c>
      <c r="C115">
        <f t="shared" si="9"/>
        <v>4.99159390691023E-3</v>
      </c>
    </row>
    <row r="116" spans="1:3" x14ac:dyDescent="0.25">
      <c r="A116">
        <f t="shared" si="11"/>
        <v>5.3999999999999968</v>
      </c>
      <c r="B116">
        <f t="shared" si="8"/>
        <v>5.5720855336659781E-7</v>
      </c>
      <c r="C116">
        <f t="shared" si="9"/>
        <v>4.5165809426126824E-3</v>
      </c>
    </row>
    <row r="117" spans="1:3" x14ac:dyDescent="0.25">
      <c r="A117">
        <f t="shared" si="11"/>
        <v>5.4999999999999964</v>
      </c>
      <c r="B117">
        <f t="shared" si="8"/>
        <v>3.2309280127630465E-7</v>
      </c>
      <c r="C117">
        <f t="shared" si="9"/>
        <v>4.0867714384640813E-3</v>
      </c>
    </row>
    <row r="118" spans="1:3" x14ac:dyDescent="0.25">
      <c r="A118">
        <f t="shared" si="11"/>
        <v>5.5999999999999961</v>
      </c>
      <c r="B118">
        <f t="shared" si="8"/>
        <v>1.8547861500497933E-7</v>
      </c>
      <c r="C118">
        <f t="shared" si="9"/>
        <v>3.6978637164829455E-3</v>
      </c>
    </row>
    <row r="119" spans="1:3" x14ac:dyDescent="0.25">
      <c r="A119">
        <f t="shared" si="11"/>
        <v>5.6999999999999957</v>
      </c>
      <c r="B119">
        <f t="shared" si="8"/>
        <v>1.0541865284461564E-7</v>
      </c>
      <c r="C119">
        <f t="shared" si="9"/>
        <v>3.3459654574712872E-3</v>
      </c>
    </row>
    <row r="120" spans="1:3" x14ac:dyDescent="0.25">
      <c r="A120">
        <f t="shared" si="11"/>
        <v>5.7999999999999954</v>
      </c>
      <c r="B120">
        <f t="shared" si="8"/>
        <v>5.9319589218735706E-8</v>
      </c>
      <c r="C120">
        <f t="shared" si="9"/>
        <v>3.0275547453758288E-3</v>
      </c>
    </row>
    <row r="121" spans="1:3" x14ac:dyDescent="0.25">
      <c r="A121">
        <f t="shared" si="11"/>
        <v>5.899999999999995</v>
      </c>
      <c r="B121">
        <f t="shared" si="8"/>
        <v>3.3047290874047982E-8</v>
      </c>
      <c r="C121">
        <f t="shared" si="9"/>
        <v>2.7394448187683827E-3</v>
      </c>
    </row>
    <row r="122" spans="1:3" x14ac:dyDescent="0.25">
      <c r="A122">
        <f t="shared" si="11"/>
        <v>5.9999999999999947</v>
      </c>
      <c r="B122">
        <f t="shared" si="8"/>
        <v>1.8227648549470441E-8</v>
      </c>
      <c r="C122">
        <f t="shared" si="9"/>
        <v>2.4787521766663715E-3</v>
      </c>
    </row>
    <row r="123" spans="1:3" x14ac:dyDescent="0.25">
      <c r="A123">
        <f t="shared" si="11"/>
        <v>6.0999999999999943</v>
      </c>
      <c r="B123">
        <f t="shared" si="8"/>
        <v>9.9536527306422336E-9</v>
      </c>
      <c r="C123">
        <f t="shared" si="9"/>
        <v>2.2428677194858151E-3</v>
      </c>
    </row>
    <row r="124" spans="1:3" x14ac:dyDescent="0.25">
      <c r="A124">
        <f t="shared" si="11"/>
        <v>6.199999999999994</v>
      </c>
      <c r="B124">
        <f t="shared" si="8"/>
        <v>5.3813517238924494E-9</v>
      </c>
      <c r="C124">
        <f t="shared" si="9"/>
        <v>2.0294306362957466E-3</v>
      </c>
    </row>
    <row r="125" spans="1:3" x14ac:dyDescent="0.25">
      <c r="A125">
        <f t="shared" si="11"/>
        <v>6.2999999999999936</v>
      </c>
      <c r="B125">
        <f t="shared" si="8"/>
        <v>2.8804300110938132E-9</v>
      </c>
      <c r="C125">
        <f t="shared" si="9"/>
        <v>1.8363047770289186E-3</v>
      </c>
    </row>
    <row r="126" spans="1:3" x14ac:dyDescent="0.25">
      <c r="A126">
        <f t="shared" si="11"/>
        <v>6.3999999999999932</v>
      </c>
      <c r="B126">
        <f t="shared" si="8"/>
        <v>1.5264420844935823E-9</v>
      </c>
      <c r="C126">
        <f t="shared" si="9"/>
        <v>1.6615572731739456E-3</v>
      </c>
    </row>
    <row r="127" spans="1:3" x14ac:dyDescent="0.25">
      <c r="A127">
        <f t="shared" si="11"/>
        <v>6.4999999999999929</v>
      </c>
      <c r="B127">
        <f t="shared" si="8"/>
        <v>8.0086698442889264E-10</v>
      </c>
      <c r="C127">
        <f t="shared" si="9"/>
        <v>1.5034391929775832E-3</v>
      </c>
    </row>
    <row r="128" spans="1:3" x14ac:dyDescent="0.25">
      <c r="A128">
        <f t="shared" si="11"/>
        <v>6.5999999999999925</v>
      </c>
      <c r="B128">
        <f t="shared" si="8"/>
        <v>4.1600399824961437E-10</v>
      </c>
      <c r="C128">
        <f t="shared" si="9"/>
        <v>1.3603680375479036E-3</v>
      </c>
    </row>
    <row r="129" spans="1:3" x14ac:dyDescent="0.25">
      <c r="A129">
        <f t="shared" si="11"/>
        <v>6.6999999999999922</v>
      </c>
      <c r="B129">
        <f t="shared" si="8"/>
        <v>2.1393984371989369E-10</v>
      </c>
      <c r="C129">
        <f t="shared" si="9"/>
        <v>1.2309119026734908E-3</v>
      </c>
    </row>
    <row r="130" spans="1:3" x14ac:dyDescent="0.25">
      <c r="A130">
        <f t="shared" si="11"/>
        <v>6.7999999999999918</v>
      </c>
      <c r="B130">
        <f t="shared" si="8"/>
        <v>1.0892884505375983E-10</v>
      </c>
      <c r="C130">
        <f t="shared" si="9"/>
        <v>1.1137751478448121E-3</v>
      </c>
    </row>
    <row r="131" spans="1:3" x14ac:dyDescent="0.25">
      <c r="A131">
        <f t="shared" si="11"/>
        <v>6.8999999999999915</v>
      </c>
      <c r="B131">
        <f t="shared" ref="B131:B194" si="14">$E$1*EXP(-(A131*A131)/2)</f>
        <v>5.4909966510470463E-11</v>
      </c>
      <c r="C131">
        <f t="shared" ref="C131:C194" si="15">IF(A131&lt;0, 0, EXP(-A131))</f>
        <v>1.0077854290485193E-3</v>
      </c>
    </row>
    <row r="132" spans="1:3" x14ac:dyDescent="0.25">
      <c r="A132">
        <f t="shared" ref="A132:A195" si="16">A131+0.1</f>
        <v>6.9999999999999911</v>
      </c>
      <c r="B132">
        <f t="shared" si="14"/>
        <v>2.7404161225095537E-11</v>
      </c>
      <c r="C132">
        <f t="shared" si="15"/>
        <v>9.1188196555452427E-4</v>
      </c>
    </row>
    <row r="133" spans="1:3" x14ac:dyDescent="0.25">
      <c r="A133">
        <f t="shared" si="16"/>
        <v>7.0999999999999908</v>
      </c>
      <c r="B133">
        <f t="shared" si="14"/>
        <v>1.354063103161742E-11</v>
      </c>
      <c r="C133">
        <f t="shared" si="15"/>
        <v>8.2510492326591186E-4</v>
      </c>
    </row>
    <row r="134" spans="1:3" x14ac:dyDescent="0.25">
      <c r="A134">
        <f t="shared" si="16"/>
        <v>7.1999999999999904</v>
      </c>
      <c r="B134">
        <f t="shared" si="14"/>
        <v>6.6239698894118891E-12</v>
      </c>
      <c r="C134">
        <f t="shared" si="15"/>
        <v>7.4658580837668658E-4</v>
      </c>
    </row>
    <row r="135" spans="1:3" x14ac:dyDescent="0.25">
      <c r="A135">
        <f t="shared" si="16"/>
        <v>7.2999999999999901</v>
      </c>
      <c r="B135">
        <f t="shared" si="14"/>
        <v>3.2081513614627197E-12</v>
      </c>
      <c r="C135">
        <f t="shared" si="15"/>
        <v>6.75538775193851E-4</v>
      </c>
    </row>
    <row r="136" spans="1:3" x14ac:dyDescent="0.25">
      <c r="A136">
        <f t="shared" si="16"/>
        <v>7.3999999999999897</v>
      </c>
      <c r="B136">
        <f t="shared" si="14"/>
        <v>1.538326091039119E-12</v>
      </c>
      <c r="C136">
        <f t="shared" si="15"/>
        <v>6.1125276112957881E-4</v>
      </c>
    </row>
    <row r="137" spans="1:3" x14ac:dyDescent="0.25">
      <c r="A137">
        <f t="shared" si="16"/>
        <v>7.4999999999999893</v>
      </c>
      <c r="B137">
        <f t="shared" si="14"/>
        <v>7.3029615990876013E-13</v>
      </c>
      <c r="C137">
        <f t="shared" si="15"/>
        <v>5.5308437014783948E-4</v>
      </c>
    </row>
    <row r="138" spans="1:3" x14ac:dyDescent="0.25">
      <c r="A138">
        <f t="shared" si="16"/>
        <v>7.599999999999989</v>
      </c>
      <c r="B138">
        <f t="shared" si="14"/>
        <v>3.4324694705406913E-13</v>
      </c>
      <c r="C138">
        <f t="shared" si="15"/>
        <v>5.0045143344061625E-4</v>
      </c>
    </row>
    <row r="139" spans="1:3" x14ac:dyDescent="0.25">
      <c r="A139">
        <f t="shared" si="16"/>
        <v>7.6999999999999886</v>
      </c>
      <c r="B139">
        <f t="shared" si="14"/>
        <v>1.5972445116760307E-13</v>
      </c>
      <c r="C139">
        <f t="shared" si="15"/>
        <v>4.5282718288680221E-4</v>
      </c>
    </row>
    <row r="140" spans="1:3" x14ac:dyDescent="0.25">
      <c r="A140">
        <f t="shared" si="16"/>
        <v>7.7999999999999883</v>
      </c>
      <c r="B140">
        <f t="shared" si="14"/>
        <v>7.3585658570899512E-14</v>
      </c>
      <c r="C140">
        <f t="shared" si="15"/>
        <v>4.0973497897979152E-4</v>
      </c>
    </row>
    <row r="141" spans="1:3" x14ac:dyDescent="0.25">
      <c r="A141">
        <f t="shared" si="16"/>
        <v>7.8999999999999879</v>
      </c>
      <c r="B141">
        <f t="shared" si="14"/>
        <v>3.3563868643058668E-14</v>
      </c>
      <c r="C141">
        <f t="shared" si="15"/>
        <v>3.7074354045909283E-4</v>
      </c>
    </row>
    <row r="142" spans="1:3" x14ac:dyDescent="0.25">
      <c r="A142">
        <f t="shared" si="16"/>
        <v>7.9999999999999876</v>
      </c>
      <c r="B142">
        <f t="shared" si="14"/>
        <v>1.5156813250612187E-14</v>
      </c>
      <c r="C142">
        <f t="shared" si="15"/>
        <v>3.3546262790251603E-4</v>
      </c>
    </row>
    <row r="143" spans="1:3" x14ac:dyDescent="0.25">
      <c r="A143">
        <f t="shared" si="16"/>
        <v>8.0999999999999872</v>
      </c>
      <c r="B143">
        <f t="shared" si="14"/>
        <v>6.776428209463632E-15</v>
      </c>
      <c r="C143">
        <f t="shared" si="15"/>
        <v>3.0353913807887052E-4</v>
      </c>
    </row>
    <row r="144" spans="1:3" x14ac:dyDescent="0.25">
      <c r="A144">
        <f t="shared" si="16"/>
        <v>8.1999999999999869</v>
      </c>
      <c r="B144">
        <f t="shared" si="14"/>
        <v>2.9995136245494735E-15</v>
      </c>
      <c r="C144">
        <f t="shared" si="15"/>
        <v>2.7465356997214595E-4</v>
      </c>
    </row>
    <row r="145" spans="1:3" x14ac:dyDescent="0.25">
      <c r="A145">
        <f t="shared" si="16"/>
        <v>8.2999999999999865</v>
      </c>
      <c r="B145">
        <f t="shared" si="14"/>
        <v>1.3144918306529568E-15</v>
      </c>
      <c r="C145">
        <f t="shared" si="15"/>
        <v>2.4851682710795537E-4</v>
      </c>
    </row>
    <row r="146" spans="1:3" x14ac:dyDescent="0.25">
      <c r="A146">
        <f t="shared" si="16"/>
        <v>8.3999999999999861</v>
      </c>
      <c r="B146">
        <f t="shared" si="14"/>
        <v>5.7032446137245808E-16</v>
      </c>
      <c r="C146">
        <f t="shared" si="15"/>
        <v>2.2486732417885139E-4</v>
      </c>
    </row>
    <row r="147" spans="1:3" x14ac:dyDescent="0.25">
      <c r="A147">
        <f t="shared" si="16"/>
        <v>8.4999999999999858</v>
      </c>
      <c r="B147">
        <f t="shared" si="14"/>
        <v>2.4498706895011611E-16</v>
      </c>
      <c r="C147">
        <f t="shared" si="15"/>
        <v>2.0346836901064707E-4</v>
      </c>
    </row>
    <row r="148" spans="1:3" x14ac:dyDescent="0.25">
      <c r="A148">
        <f t="shared" si="16"/>
        <v>8.5999999999999854</v>
      </c>
      <c r="B148">
        <f t="shared" si="14"/>
        <v>1.0418888245699882E-16</v>
      </c>
      <c r="C148">
        <f t="shared" si="15"/>
        <v>1.841057936675818E-4</v>
      </c>
    </row>
    <row r="149" spans="1:3" x14ac:dyDescent="0.25">
      <c r="A149">
        <f t="shared" si="16"/>
        <v>8.6999999999999851</v>
      </c>
      <c r="B149">
        <f t="shared" si="14"/>
        <v>4.3868890725025043E-17</v>
      </c>
      <c r="C149">
        <f t="shared" si="15"/>
        <v>1.665858109876359E-4</v>
      </c>
    </row>
    <row r="150" spans="1:3" x14ac:dyDescent="0.25">
      <c r="A150">
        <f t="shared" si="16"/>
        <v>8.7999999999999847</v>
      </c>
      <c r="B150">
        <f t="shared" si="14"/>
        <v>1.8287274388689853E-17</v>
      </c>
      <c r="C150">
        <f t="shared" si="15"/>
        <v>1.5073307509547892E-4</v>
      </c>
    </row>
    <row r="151" spans="1:3" x14ac:dyDescent="0.25">
      <c r="A151">
        <f t="shared" si="16"/>
        <v>8.8999999999999844</v>
      </c>
      <c r="B151">
        <f t="shared" si="14"/>
        <v>7.5474173308552861E-18</v>
      </c>
      <c r="C151">
        <f t="shared" si="15"/>
        <v>1.3638892648201357E-4</v>
      </c>
    </row>
    <row r="152" spans="1:3" x14ac:dyDescent="0.25">
      <c r="A152">
        <f t="shared" si="16"/>
        <v>8.999999999999984</v>
      </c>
      <c r="B152">
        <f t="shared" si="14"/>
        <v>3.0839320715011129E-18</v>
      </c>
      <c r="C152">
        <f t="shared" si="15"/>
        <v>1.2340980408668151E-4</v>
      </c>
    </row>
    <row r="153" spans="1:3" x14ac:dyDescent="0.25">
      <c r="A153">
        <f t="shared" si="16"/>
        <v>9.0999999999999837</v>
      </c>
      <c r="B153">
        <f t="shared" si="14"/>
        <v>1.2475796937347254E-18</v>
      </c>
      <c r="C153">
        <f t="shared" si="15"/>
        <v>1.1166580849011657E-4</v>
      </c>
    </row>
    <row r="154" spans="1:3" x14ac:dyDescent="0.25">
      <c r="A154">
        <f t="shared" si="16"/>
        <v>9.1999999999999833</v>
      </c>
      <c r="B154">
        <f t="shared" si="14"/>
        <v>4.9967640971405323E-19</v>
      </c>
      <c r="C154">
        <f t="shared" si="15"/>
        <v>1.0103940183709503E-4</v>
      </c>
    </row>
    <row r="155" spans="1:3" x14ac:dyDescent="0.25">
      <c r="A155">
        <f t="shared" si="16"/>
        <v>9.2999999999999829</v>
      </c>
      <c r="B155">
        <f t="shared" si="14"/>
        <v>1.9813739582221165E-19</v>
      </c>
      <c r="C155">
        <f t="shared" si="15"/>
        <v>9.1424231478174896E-5</v>
      </c>
    </row>
    <row r="156" spans="1:3" x14ac:dyDescent="0.25">
      <c r="A156">
        <f t="shared" si="16"/>
        <v>9.3999999999999826</v>
      </c>
      <c r="B156">
        <f t="shared" si="14"/>
        <v>7.7785941033024388E-20</v>
      </c>
      <c r="C156">
        <f t="shared" si="15"/>
        <v>8.2724065556633706E-5</v>
      </c>
    </row>
    <row r="157" spans="1:3" x14ac:dyDescent="0.25">
      <c r="A157">
        <f t="shared" si="16"/>
        <v>9.4999999999999822</v>
      </c>
      <c r="B157">
        <f t="shared" si="14"/>
        <v>3.023380618290519E-20</v>
      </c>
      <c r="C157">
        <f t="shared" si="15"/>
        <v>7.4851829887701926E-5</v>
      </c>
    </row>
    <row r="158" spans="1:3" x14ac:dyDescent="0.25">
      <c r="A158">
        <f t="shared" si="16"/>
        <v>9.5999999999999819</v>
      </c>
      <c r="B158">
        <f t="shared" si="14"/>
        <v>1.1634335795242867E-20</v>
      </c>
      <c r="C158">
        <f t="shared" si="15"/>
        <v>6.7728736490855104E-5</v>
      </c>
    </row>
    <row r="159" spans="1:3" x14ac:dyDescent="0.25">
      <c r="A159">
        <f t="shared" si="16"/>
        <v>9.6999999999999815</v>
      </c>
      <c r="B159">
        <f t="shared" si="14"/>
        <v>4.4324864781135512E-21</v>
      </c>
      <c r="C159">
        <f t="shared" si="15"/>
        <v>6.1283495053223231E-5</v>
      </c>
    </row>
    <row r="160" spans="1:3" x14ac:dyDescent="0.25">
      <c r="A160">
        <f t="shared" si="16"/>
        <v>9.7999999999999812</v>
      </c>
      <c r="B160">
        <f t="shared" si="14"/>
        <v>1.671900006816528E-21</v>
      </c>
      <c r="C160">
        <f t="shared" si="15"/>
        <v>5.5451599432178023E-5</v>
      </c>
    </row>
    <row r="161" spans="1:3" x14ac:dyDescent="0.25">
      <c r="A161">
        <f t="shared" si="16"/>
        <v>9.8999999999999808</v>
      </c>
      <c r="B161">
        <f t="shared" si="14"/>
        <v>6.2435304606096715E-22</v>
      </c>
      <c r="C161">
        <f t="shared" si="15"/>
        <v>5.0174682056176265E-5</v>
      </c>
    </row>
    <row r="162" spans="1:3" x14ac:dyDescent="0.25">
      <c r="A162">
        <f t="shared" si="16"/>
        <v>9.9999999999999805</v>
      </c>
      <c r="B162">
        <f t="shared" si="14"/>
        <v>2.3083795880123851E-22</v>
      </c>
      <c r="C162">
        <f t="shared" si="15"/>
        <v>4.5399929762485742E-5</v>
      </c>
    </row>
    <row r="163" spans="1:3" x14ac:dyDescent="0.25">
      <c r="A163">
        <f t="shared" si="16"/>
        <v>10.09999999999998</v>
      </c>
      <c r="B163">
        <f t="shared" si="14"/>
        <v>8.4496996328304083E-23</v>
      </c>
      <c r="C163">
        <f t="shared" si="15"/>
        <v>4.1079555225301524E-5</v>
      </c>
    </row>
    <row r="164" spans="1:3" x14ac:dyDescent="0.25">
      <c r="A164">
        <f t="shared" si="16"/>
        <v>10.19999999999998</v>
      </c>
      <c r="B164">
        <f t="shared" si="14"/>
        <v>3.0621916782924617E-23</v>
      </c>
      <c r="C164">
        <f t="shared" si="15"/>
        <v>3.7170318684127459E-5</v>
      </c>
    </row>
    <row r="165" spans="1:3" x14ac:dyDescent="0.25">
      <c r="A165">
        <f t="shared" si="16"/>
        <v>10.299999999999979</v>
      </c>
      <c r="B165">
        <f t="shared" si="14"/>
        <v>1.0987035505668555E-23</v>
      </c>
      <c r="C165">
        <f t="shared" si="15"/>
        <v>3.3633095185719686E-5</v>
      </c>
    </row>
    <row r="166" spans="1:3" x14ac:dyDescent="0.25">
      <c r="A166">
        <f t="shared" si="16"/>
        <v>10.399999999999979</v>
      </c>
      <c r="B166">
        <f t="shared" si="14"/>
        <v>3.902884859772599E-24</v>
      </c>
      <c r="C166">
        <f t="shared" si="15"/>
        <v>3.0432483008404275E-5</v>
      </c>
    </row>
    <row r="167" spans="1:3" x14ac:dyDescent="0.25">
      <c r="A167">
        <f t="shared" si="16"/>
        <v>10.499999999999979</v>
      </c>
      <c r="B167">
        <f t="shared" si="14"/>
        <v>1.3726126771565537E-24</v>
      </c>
      <c r="C167">
        <f t="shared" si="15"/>
        <v>2.7536449349747744E-5</v>
      </c>
    </row>
    <row r="168" spans="1:3" x14ac:dyDescent="0.25">
      <c r="A168">
        <f t="shared" si="16"/>
        <v>10.599999999999978</v>
      </c>
      <c r="B168">
        <f t="shared" si="14"/>
        <v>4.779333398103987E-25</v>
      </c>
      <c r="C168">
        <f t="shared" si="15"/>
        <v>2.4916009731503736E-5</v>
      </c>
    </row>
    <row r="169" spans="1:3" x14ac:dyDescent="0.25">
      <c r="A169">
        <f t="shared" si="16"/>
        <v>10.699999999999978</v>
      </c>
      <c r="B169">
        <f t="shared" si="14"/>
        <v>1.6475693495457314E-25</v>
      </c>
      <c r="C169">
        <f t="shared" si="15"/>
        <v>2.2544937913212691E-5</v>
      </c>
    </row>
    <row r="170" spans="1:3" x14ac:dyDescent="0.25">
      <c r="A170">
        <f t="shared" si="16"/>
        <v>10.799999999999978</v>
      </c>
      <c r="B170">
        <f t="shared" si="14"/>
        <v>5.6231172070267876E-26</v>
      </c>
      <c r="C170">
        <f t="shared" si="15"/>
        <v>2.0399503411172393E-5</v>
      </c>
    </row>
    <row r="171" spans="1:3" x14ac:dyDescent="0.25">
      <c r="A171">
        <f t="shared" si="16"/>
        <v>10.899999999999977</v>
      </c>
      <c r="B171">
        <f t="shared" si="14"/>
        <v>1.9000613465496542E-26</v>
      </c>
      <c r="C171">
        <f t="shared" si="15"/>
        <v>1.8458233995780985E-5</v>
      </c>
    </row>
    <row r="172" spans="1:3" x14ac:dyDescent="0.25">
      <c r="A172">
        <f t="shared" si="16"/>
        <v>10.999999999999977</v>
      </c>
      <c r="B172">
        <f t="shared" si="14"/>
        <v>6.3564577605296878E-27</v>
      </c>
      <c r="C172">
        <f t="shared" si="15"/>
        <v>1.6701700790246046E-5</v>
      </c>
    </row>
    <row r="173" spans="1:3" x14ac:dyDescent="0.25">
      <c r="A173">
        <f t="shared" si="16"/>
        <v>11.099999999999977</v>
      </c>
      <c r="B173">
        <f t="shared" si="14"/>
        <v>2.1053279827989311E-27</v>
      </c>
      <c r="C173">
        <f t="shared" si="15"/>
        <v>1.5112323819855382E-5</v>
      </c>
    </row>
    <row r="174" spans="1:3" x14ac:dyDescent="0.25">
      <c r="A174">
        <f t="shared" si="16"/>
        <v>11.199999999999976</v>
      </c>
      <c r="B174">
        <f t="shared" si="14"/>
        <v>6.9036921265462324E-28</v>
      </c>
      <c r="C174">
        <f t="shared" si="15"/>
        <v>1.3674196065681279E-5</v>
      </c>
    </row>
    <row r="175" spans="1:3" x14ac:dyDescent="0.25">
      <c r="A175">
        <f t="shared" si="16"/>
        <v>11.299999999999976</v>
      </c>
      <c r="B175">
        <f t="shared" si="14"/>
        <v>2.2413006827656623E-28</v>
      </c>
      <c r="C175">
        <f t="shared" si="15"/>
        <v>1.237292426178853E-5</v>
      </c>
    </row>
    <row r="176" spans="1:3" x14ac:dyDescent="0.25">
      <c r="A176">
        <f t="shared" si="16"/>
        <v>11.399999999999975</v>
      </c>
      <c r="B176">
        <f t="shared" si="14"/>
        <v>7.2040362000276551E-29</v>
      </c>
      <c r="C176">
        <f t="shared" si="15"/>
        <v>1.1195484842591218E-5</v>
      </c>
    </row>
    <row r="177" spans="1:3" x14ac:dyDescent="0.25">
      <c r="A177">
        <f t="shared" si="16"/>
        <v>11.499999999999975</v>
      </c>
      <c r="B177">
        <f t="shared" si="14"/>
        <v>2.2924966234768129E-29</v>
      </c>
      <c r="C177">
        <f t="shared" si="15"/>
        <v>1.0130093598630963E-5</v>
      </c>
    </row>
    <row r="178" spans="1:3" x14ac:dyDescent="0.25">
      <c r="A178">
        <f t="shared" si="16"/>
        <v>11.599999999999975</v>
      </c>
      <c r="B178">
        <f t="shared" si="14"/>
        <v>7.222683395520059E-30</v>
      </c>
      <c r="C178">
        <f t="shared" si="15"/>
        <v>9.1660877362478458E-6</v>
      </c>
    </row>
    <row r="179" spans="1:3" x14ac:dyDescent="0.25">
      <c r="A179">
        <f t="shared" si="16"/>
        <v>11.699999999999974</v>
      </c>
      <c r="B179">
        <f t="shared" si="14"/>
        <v>2.2529186317496307E-30</v>
      </c>
      <c r="C179">
        <f t="shared" si="15"/>
        <v>8.2938191607575771E-6</v>
      </c>
    </row>
    <row r="180" spans="1:3" x14ac:dyDescent="0.25">
      <c r="A180">
        <f t="shared" si="16"/>
        <v>11.799999999999974</v>
      </c>
      <c r="B180">
        <f t="shared" si="14"/>
        <v>6.9574403317705269E-31</v>
      </c>
      <c r="C180">
        <f t="shared" si="15"/>
        <v>7.504557915077058E-6</v>
      </c>
    </row>
    <row r="181" spans="1:3" x14ac:dyDescent="0.25">
      <c r="A181">
        <f t="shared" si="16"/>
        <v>11.899999999999974</v>
      </c>
      <c r="B181">
        <f t="shared" si="14"/>
        <v>2.1272108005290832E-31</v>
      </c>
      <c r="C181">
        <f t="shared" si="15"/>
        <v>6.7904048073796516E-6</v>
      </c>
    </row>
    <row r="182" spans="1:3" x14ac:dyDescent="0.25">
      <c r="A182">
        <f t="shared" si="16"/>
        <v>11.999999999999973</v>
      </c>
      <c r="B182">
        <f t="shared" si="14"/>
        <v>6.439151206991195E-32</v>
      </c>
      <c r="C182">
        <f t="shared" si="15"/>
        <v>6.1442123533283733E-6</v>
      </c>
    </row>
    <row r="183" spans="1:3" x14ac:dyDescent="0.25">
      <c r="A183">
        <f t="shared" si="16"/>
        <v>12.099999999999973</v>
      </c>
      <c r="B183">
        <f t="shared" si="14"/>
        <v>1.9297621003913553E-32</v>
      </c>
      <c r="C183">
        <f t="shared" si="15"/>
        <v>5.5595132416502942E-6</v>
      </c>
    </row>
    <row r="184" spans="1:3" x14ac:dyDescent="0.25">
      <c r="A184">
        <f t="shared" si="16"/>
        <v>12.199999999999973</v>
      </c>
      <c r="B184">
        <f t="shared" si="14"/>
        <v>5.7257974039123214E-33</v>
      </c>
      <c r="C184">
        <f t="shared" si="15"/>
        <v>5.0304556071115821E-6</v>
      </c>
    </row>
    <row r="185" spans="1:3" x14ac:dyDescent="0.25">
      <c r="A185">
        <f t="shared" si="16"/>
        <v>12.299999999999972</v>
      </c>
      <c r="B185">
        <f t="shared" si="14"/>
        <v>1.6819970778917473E-33</v>
      </c>
      <c r="C185">
        <f t="shared" si="15"/>
        <v>4.5517444630833608E-6</v>
      </c>
    </row>
    <row r="186" spans="1:3" x14ac:dyDescent="0.25">
      <c r="A186">
        <f t="shared" si="16"/>
        <v>12.399999999999972</v>
      </c>
      <c r="B186">
        <f t="shared" si="14"/>
        <v>4.8918322045206737E-34</v>
      </c>
      <c r="C186">
        <f t="shared" si="15"/>
        <v>4.1185887075358251E-6</v>
      </c>
    </row>
    <row r="187" spans="1:3" x14ac:dyDescent="0.25">
      <c r="A187">
        <f t="shared" si="16"/>
        <v>12.499999999999972</v>
      </c>
      <c r="B187">
        <f t="shared" si="14"/>
        <v>1.4085586073930445E-34</v>
      </c>
      <c r="C187">
        <f t="shared" si="15"/>
        <v>3.7266531720787768E-6</v>
      </c>
    </row>
    <row r="188" spans="1:3" x14ac:dyDescent="0.25">
      <c r="A188">
        <f t="shared" si="16"/>
        <v>12.599999999999971</v>
      </c>
      <c r="B188">
        <f t="shared" si="14"/>
        <v>4.0154603977642906E-35</v>
      </c>
      <c r="C188">
        <f t="shared" si="15"/>
        <v>3.3720152341392802E-6</v>
      </c>
    </row>
    <row r="189" spans="1:3" x14ac:dyDescent="0.25">
      <c r="A189">
        <f t="shared" si="16"/>
        <v>12.699999999999971</v>
      </c>
      <c r="B189">
        <f t="shared" si="14"/>
        <v>1.1333207163451546E-35</v>
      </c>
      <c r="C189">
        <f t="shared" si="15"/>
        <v>3.0511255580365093E-6</v>
      </c>
    </row>
    <row r="190" spans="1:3" x14ac:dyDescent="0.25">
      <c r="A190">
        <f t="shared" si="16"/>
        <v>12.799999999999971</v>
      </c>
      <c r="B190">
        <f t="shared" si="14"/>
        <v>3.1668490507370817E-36</v>
      </c>
      <c r="C190">
        <f t="shared" si="15"/>
        <v>2.7607725720372821E-6</v>
      </c>
    </row>
    <row r="191" spans="1:3" x14ac:dyDescent="0.25">
      <c r="A191">
        <f t="shared" si="16"/>
        <v>12.89999999999997</v>
      </c>
      <c r="B191">
        <f t="shared" si="14"/>
        <v>8.7611063816077766E-37</v>
      </c>
      <c r="C191">
        <f t="shared" si="15"/>
        <v>2.4980503258667103E-6</v>
      </c>
    </row>
    <row r="192" spans="1:3" x14ac:dyDescent="0.25">
      <c r="A192">
        <f t="shared" si="16"/>
        <v>12.99999999999997</v>
      </c>
      <c r="B192">
        <f t="shared" si="14"/>
        <v>2.3996483271029986E-37</v>
      </c>
      <c r="C192">
        <f t="shared" si="15"/>
        <v>2.2603294069811224E-6</v>
      </c>
    </row>
    <row r="193" spans="1:3" x14ac:dyDescent="0.25">
      <c r="A193">
        <f t="shared" si="16"/>
        <v>13.099999999999969</v>
      </c>
      <c r="B193">
        <f t="shared" si="14"/>
        <v>6.5071872007845775E-38</v>
      </c>
      <c r="C193">
        <f t="shared" si="15"/>
        <v>2.0452306245235515E-6</v>
      </c>
    </row>
    <row r="194" spans="1:3" x14ac:dyDescent="0.25">
      <c r="A194">
        <f t="shared" si="16"/>
        <v>13.199999999999969</v>
      </c>
      <c r="B194">
        <f t="shared" si="14"/>
        <v>1.7470126799216658E-38</v>
      </c>
      <c r="C194">
        <f t="shared" si="15"/>
        <v>1.8506011975819638E-6</v>
      </c>
    </row>
    <row r="195" spans="1:3" x14ac:dyDescent="0.25">
      <c r="A195">
        <f t="shared" si="16"/>
        <v>13.299999999999969</v>
      </c>
      <c r="B195">
        <f t="shared" ref="B195:B202" si="17">$E$1*EXP(-(A195*A195)/2)</f>
        <v>4.6436113988905988E-39</v>
      </c>
      <c r="C195">
        <f t="shared" ref="C195:C202" si="18">IF(A195&lt;0, 0, EXP(-A195))</f>
        <v>1.6744932094343196E-6</v>
      </c>
    </row>
    <row r="196" spans="1:3" x14ac:dyDescent="0.25">
      <c r="A196">
        <f t="shared" ref="A196:A202" si="19">A195+0.1</f>
        <v>13.399999999999968</v>
      </c>
      <c r="B196">
        <f t="shared" si="17"/>
        <v>1.2220043032588746E-39</v>
      </c>
      <c r="C196">
        <f t="shared" si="18"/>
        <v>1.5151441121432975E-6</v>
      </c>
    </row>
    <row r="197" spans="1:3" x14ac:dyDescent="0.25">
      <c r="A197">
        <f t="shared" si="19"/>
        <v>13.499999999999968</v>
      </c>
      <c r="B197">
        <f t="shared" si="17"/>
        <v>3.1838064417470058E-40</v>
      </c>
      <c r="C197">
        <f t="shared" si="18"/>
        <v>1.3709590863841283E-6</v>
      </c>
    </row>
    <row r="198" spans="1:3" x14ac:dyDescent="0.25">
      <c r="A198">
        <f t="shared" si="19"/>
        <v>13.599999999999968</v>
      </c>
      <c r="B198">
        <f t="shared" si="17"/>
        <v>8.2125425770694276E-41</v>
      </c>
      <c r="C198">
        <f t="shared" si="18"/>
        <v>1.240495079956753E-6</v>
      </c>
    </row>
    <row r="199" spans="1:3" x14ac:dyDescent="0.25">
      <c r="A199">
        <f t="shared" si="19"/>
        <v>13.699999999999967</v>
      </c>
      <c r="B199">
        <f t="shared" si="17"/>
        <v>2.0973246749128706E-41</v>
      </c>
      <c r="C199">
        <f t="shared" si="18"/>
        <v>1.1224463652343801E-6</v>
      </c>
    </row>
    <row r="200" spans="1:3" x14ac:dyDescent="0.25">
      <c r="A200">
        <f t="shared" si="19"/>
        <v>13.799999999999967</v>
      </c>
      <c r="B200">
        <f t="shared" si="17"/>
        <v>5.3028672307629909E-42</v>
      </c>
      <c r="C200">
        <f t="shared" si="18"/>
        <v>1.0156314710025246E-6</v>
      </c>
    </row>
    <row r="201" spans="1:3" x14ac:dyDescent="0.25">
      <c r="A201">
        <f t="shared" si="19"/>
        <v>13.899999999999967</v>
      </c>
      <c r="B201">
        <f t="shared" si="17"/>
        <v>1.3274338749954727E-42</v>
      </c>
      <c r="C201">
        <f t="shared" si="18"/>
        <v>9.1898135789798816E-7</v>
      </c>
    </row>
    <row r="202" spans="1:3" x14ac:dyDescent="0.25">
      <c r="A202">
        <f t="shared" si="19"/>
        <v>13.999999999999966</v>
      </c>
      <c r="B202">
        <f t="shared" si="17"/>
        <v>3.2898196781684569E-43</v>
      </c>
      <c r="C202">
        <f t="shared" si="18"/>
        <v>8.3152871910359594E-7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86"/>
  <sheetViews>
    <sheetView topLeftCell="A73" workbookViewId="0">
      <selection activeCell="S12" sqref="S12"/>
    </sheetView>
  </sheetViews>
  <sheetFormatPr defaultRowHeight="15" x14ac:dyDescent="0.25"/>
  <cols>
    <col min="12" max="12" width="11" customWidth="1"/>
    <col min="18" max="18" width="22.28515625" customWidth="1"/>
    <col min="19" max="19" width="22.140625" customWidth="1"/>
    <col min="20" max="20" width="23.42578125" customWidth="1"/>
    <col min="21" max="21" width="22.140625" customWidth="1"/>
  </cols>
  <sheetData>
    <row r="1" spans="1:36" x14ac:dyDescent="0.25">
      <c r="A1" t="s">
        <v>0</v>
      </c>
      <c r="B1" t="s">
        <v>1</v>
      </c>
      <c r="C1" t="s">
        <v>2</v>
      </c>
      <c r="G1" s="2" t="s">
        <v>0</v>
      </c>
      <c r="H1" s="2" t="s">
        <v>1</v>
      </c>
      <c r="I1" s="2" t="s">
        <v>5</v>
      </c>
      <c r="O1" s="6" t="s">
        <v>24</v>
      </c>
      <c r="R1" s="2" t="s">
        <v>9</v>
      </c>
      <c r="S1" s="2" t="s">
        <v>10</v>
      </c>
      <c r="T1" t="s">
        <v>11</v>
      </c>
      <c r="AG1" t="s">
        <v>25</v>
      </c>
      <c r="AH1" t="s">
        <v>26</v>
      </c>
      <c r="AI1" t="s">
        <v>27</v>
      </c>
      <c r="AJ1" t="s">
        <v>28</v>
      </c>
    </row>
    <row r="2" spans="1:36" x14ac:dyDescent="0.25">
      <c r="A2">
        <v>-1.39685137912344</v>
      </c>
      <c r="B2">
        <v>0.67790445736734695</v>
      </c>
      <c r="C2">
        <v>-1</v>
      </c>
      <c r="G2">
        <v>-1.7048601925509801</v>
      </c>
      <c r="H2">
        <v>-2.7834040882272699</v>
      </c>
      <c r="I2">
        <v>-1</v>
      </c>
      <c r="L2">
        <f>(A2-$R$5)*(A2-$R$5)</f>
        <v>2.4862628444164789</v>
      </c>
      <c r="M2">
        <f>(B2-$S$5)*(B2-$S$5)</f>
        <v>8.2691092973622621E-2</v>
      </c>
      <c r="O2" s="7">
        <f>MAX(S38,U38)</f>
        <v>1.5581180926295438E-3</v>
      </c>
      <c r="R2" s="2">
        <f>-SUM(I2:I26)/(-SUM(I2:I26)+SUM(I27:I51))</f>
        <v>0.5</v>
      </c>
      <c r="S2" s="2">
        <f>SUM(I27:I51)/(-SUM(I2:I26)+SUM(I27:I51))</f>
        <v>0.5</v>
      </c>
      <c r="AC2">
        <f>AG2*AI2/(AH2*AJ2)</f>
        <v>26.737013869368408</v>
      </c>
      <c r="AD2">
        <f>LN(AC2)</f>
        <v>3.2860488926394371</v>
      </c>
      <c r="AE2">
        <f>IF(AD2&gt;1, -1,1)</f>
        <v>-1</v>
      </c>
      <c r="AF2">
        <f>AE2-C2</f>
        <v>0</v>
      </c>
      <c r="AG2">
        <f>$P$11*EXP((-1)*(A2-$R$5)*(A2-$R$5)/($R$8*2))/SQRT($R$8)</f>
        <v>0.12722433873781228</v>
      </c>
      <c r="AH2">
        <f>$P$11*EXP((-1)*(A2-$T$5)*(A2-$T$5)/($T$8*2))/SQRT($T$8)</f>
        <v>6.4248177484034366E-3</v>
      </c>
      <c r="AI2">
        <f>$P$11*EXP((-1)*(B2-$S$5)*(B2-$S$5)/($S$8*2))/SQRT($S$8)</f>
        <v>0.25388445982557001</v>
      </c>
      <c r="AJ2">
        <f>$P$11*EXP((-1)*(B2-$U$5)*(B2-$U$5)/($U$8*2))/SQRT($U$8)</f>
        <v>0.18803236435181891</v>
      </c>
    </row>
    <row r="3" spans="1:36" x14ac:dyDescent="0.25">
      <c r="A3">
        <v>-1.49138512774315</v>
      </c>
      <c r="B3">
        <v>1.62568721833194</v>
      </c>
      <c r="C3">
        <v>-1</v>
      </c>
      <c r="G3">
        <v>-1.49138512774315</v>
      </c>
      <c r="H3">
        <v>-2.1622137053169701</v>
      </c>
      <c r="I3">
        <v>-1</v>
      </c>
      <c r="L3">
        <f t="shared" ref="L3:L26" si="0">(A3-$R$5)*(A3-$R$5)</f>
        <v>2.7933189816159021</v>
      </c>
      <c r="M3">
        <f t="shared" ref="M3:M26" si="1">(B3-$S$5)*(B3-$S$5)</f>
        <v>0.43589331491272187</v>
      </c>
      <c r="O3" s="7">
        <f t="shared" ref="O3:O26" si="2">MAX(S39,U39)</f>
        <v>8.3375101656644017E-3</v>
      </c>
      <c r="AC3">
        <f>AG3*AI3/(AH3*AJ3)</f>
        <v>35.261392924520969</v>
      </c>
      <c r="AD3">
        <f t="shared" ref="AD3:AD51" si="3">LN(AC3)</f>
        <v>3.562788680571777</v>
      </c>
      <c r="AE3">
        <f t="shared" ref="AE3:AE51" si="4">IF(AD3&gt;1, -1,1)</f>
        <v>-1</v>
      </c>
      <c r="AF3">
        <f t="shared" ref="AF3:AF51" si="5">AE3-C3</f>
        <v>0</v>
      </c>
      <c r="AG3">
        <f t="shared" ref="AG3:AG51" si="6">$P$11*EXP((-1)*(A3-$R$5)*(A3-$R$5)/($R$8*2))/SQRT($R$8)</f>
        <v>0.11153057208281097</v>
      </c>
      <c r="AH3">
        <f t="shared" ref="AH3:AH51" si="7">$P$11*EXP((-1)*(A3-$T$5)*(A3-$T$5)/($T$8*2))/SQRT($T$8)</f>
        <v>4.2672481336998797E-3</v>
      </c>
      <c r="AI3">
        <f t="shared" ref="AI3:AI51" si="8">$P$11*EXP((-1)*(B3-$S$5)*(B3-$S$5)/($S$8*2))/SQRT($S$8)</f>
        <v>0.23576440859560871</v>
      </c>
      <c r="AJ3">
        <f t="shared" ref="AJ3:AJ51" si="9">$P$11*EXP((-1)*(B3-$U$5)*(B3-$U$5)/($U$8*2))/SQRT($U$8)</f>
        <v>0.17475306936531912</v>
      </c>
    </row>
    <row r="4" spans="1:36" x14ac:dyDescent="0.25">
      <c r="A4">
        <v>-0.89163842610709598</v>
      </c>
      <c r="B4">
        <v>3.60641250937352</v>
      </c>
      <c r="C4">
        <v>-1</v>
      </c>
      <c r="G4">
        <v>-1.4140693136420801</v>
      </c>
      <c r="H4">
        <v>-0.68210353573308702</v>
      </c>
      <c r="I4">
        <v>-1</v>
      </c>
      <c r="L4">
        <f t="shared" si="0"/>
        <v>1.1482747446048713</v>
      </c>
      <c r="M4">
        <f t="shared" si="1"/>
        <v>6.9746034965949226</v>
      </c>
      <c r="O4" s="7">
        <f t="shared" si="2"/>
        <v>1.3124846018000692E-2</v>
      </c>
      <c r="R4" s="2" t="s">
        <v>15</v>
      </c>
      <c r="S4" s="2" t="s">
        <v>14</v>
      </c>
      <c r="T4" s="2" t="s">
        <v>13</v>
      </c>
      <c r="U4" s="2" t="s">
        <v>12</v>
      </c>
      <c r="AC4">
        <f t="shared" ref="AC4:AC51" si="10">AG4*AI4/(AH4*AJ4)</f>
        <v>4.072818782940689</v>
      </c>
      <c r="AD4">
        <f t="shared" si="3"/>
        <v>1.4043353353957597</v>
      </c>
      <c r="AE4">
        <f t="shared" si="4"/>
        <v>-1</v>
      </c>
      <c r="AF4">
        <f t="shared" si="5"/>
        <v>0</v>
      </c>
      <c r="AG4">
        <f t="shared" si="6"/>
        <v>0.22579490084536422</v>
      </c>
      <c r="AH4">
        <f t="shared" si="7"/>
        <v>4.2251833930935387E-2</v>
      </c>
      <c r="AI4">
        <f t="shared" si="8"/>
        <v>5.9861923182873145E-2</v>
      </c>
      <c r="AJ4">
        <f t="shared" si="9"/>
        <v>7.8546012837108103E-2</v>
      </c>
    </row>
    <row r="5" spans="1:36" x14ac:dyDescent="0.25">
      <c r="A5">
        <v>1.32123115190245</v>
      </c>
      <c r="B5">
        <v>-2.7834040882272699</v>
      </c>
      <c r="C5">
        <v>-1</v>
      </c>
      <c r="G5">
        <v>-1.39685137912344</v>
      </c>
      <c r="H5">
        <v>-0.38886586504166798</v>
      </c>
      <c r="I5">
        <v>-1</v>
      </c>
      <c r="L5">
        <f t="shared" si="0"/>
        <v>1.3025514350461969</v>
      </c>
      <c r="M5">
        <f t="shared" si="1"/>
        <v>14.054019796498029</v>
      </c>
      <c r="O5" s="7">
        <f t="shared" si="2"/>
        <v>2.0319690025830991E-2</v>
      </c>
      <c r="R5">
        <f>SUM(G2:G26)/25</f>
        <v>0.17993739697070729</v>
      </c>
      <c r="S5">
        <f>SUM(H2:H26)/25</f>
        <v>0.96546504745858774</v>
      </c>
      <c r="T5">
        <f>SUM(G27:G51)/25</f>
        <v>0.71742103359264064</v>
      </c>
      <c r="U5">
        <f>SUM(H27:H51)/25</f>
        <v>0.8051975503768618</v>
      </c>
      <c r="AC5">
        <f t="shared" si="10"/>
        <v>0.16325848912771951</v>
      </c>
      <c r="AD5">
        <f t="shared" si="3"/>
        <v>-1.8124205113952352</v>
      </c>
      <c r="AE5">
        <f t="shared" si="4"/>
        <v>1</v>
      </c>
      <c r="AF5">
        <f t="shared" si="5"/>
        <v>2</v>
      </c>
      <c r="AG5">
        <f t="shared" si="6"/>
        <v>0.21134238030911626</v>
      </c>
      <c r="AH5">
        <f t="shared" si="7"/>
        <v>0.3918880948320832</v>
      </c>
      <c r="AI5">
        <f t="shared" si="8"/>
        <v>1.3570430105907524E-2</v>
      </c>
      <c r="AJ5">
        <f t="shared" si="9"/>
        <v>4.4827277518267594E-2</v>
      </c>
    </row>
    <row r="6" spans="1:36" x14ac:dyDescent="0.25">
      <c r="A6">
        <v>0.15482623664997999</v>
      </c>
      <c r="B6">
        <v>-2.1622137053169701</v>
      </c>
      <c r="C6">
        <v>-1</v>
      </c>
      <c r="G6">
        <v>-0.89163842610709598</v>
      </c>
      <c r="H6">
        <v>-0.335654402615848</v>
      </c>
      <c r="I6">
        <v>-1</v>
      </c>
      <c r="L6">
        <f t="shared" si="0"/>
        <v>6.3057037265326914E-4</v>
      </c>
      <c r="M6">
        <f t="shared" si="1"/>
        <v>9.7823743805636685</v>
      </c>
      <c r="O6" s="7">
        <f t="shared" si="2"/>
        <v>2.9183074961921757E-2</v>
      </c>
      <c r="AC6">
        <f t="shared" si="10"/>
        <v>0.42281600770213784</v>
      </c>
      <c r="AD6">
        <f t="shared" si="3"/>
        <v>-0.86081816453404325</v>
      </c>
      <c r="AE6">
        <f t="shared" si="4"/>
        <v>1</v>
      </c>
      <c r="AF6">
        <f t="shared" si="5"/>
        <v>2</v>
      </c>
      <c r="AG6">
        <f t="shared" si="6"/>
        <v>0.36932994283341536</v>
      </c>
      <c r="AH6">
        <f t="shared" si="7"/>
        <v>0.41121307799784312</v>
      </c>
      <c r="AI6">
        <f t="shared" si="8"/>
        <v>3.3228639968257777E-2</v>
      </c>
      <c r="AJ6">
        <f t="shared" si="9"/>
        <v>7.0584402947773822E-2</v>
      </c>
    </row>
    <row r="7" spans="1:36" x14ac:dyDescent="0.25">
      <c r="A7">
        <v>1.75479716503808</v>
      </c>
      <c r="B7">
        <v>2.0726806747798099</v>
      </c>
      <c r="C7">
        <v>-1</v>
      </c>
      <c r="G7">
        <v>-0.64153222416655697</v>
      </c>
      <c r="H7">
        <v>-0.26461010310528199</v>
      </c>
      <c r="I7">
        <v>-1</v>
      </c>
      <c r="L7">
        <f t="shared" si="0"/>
        <v>2.4801832890772193</v>
      </c>
      <c r="M7">
        <f t="shared" si="1"/>
        <v>1.2259264453843275</v>
      </c>
      <c r="O7" s="7">
        <f t="shared" si="2"/>
        <v>3.4069785871281351E-2</v>
      </c>
      <c r="R7" s="2" t="s">
        <v>16</v>
      </c>
      <c r="S7" s="2" t="s">
        <v>17</v>
      </c>
      <c r="T7" s="2" t="s">
        <v>18</v>
      </c>
      <c r="U7" s="2" t="s">
        <v>19</v>
      </c>
      <c r="AC7">
        <f t="shared" si="10"/>
        <v>0.84192112680319497</v>
      </c>
      <c r="AD7">
        <f t="shared" si="3"/>
        <v>-0.17206894275786863</v>
      </c>
      <c r="AE7">
        <f t="shared" si="4"/>
        <v>1</v>
      </c>
      <c r="AF7">
        <f t="shared" si="5"/>
        <v>2</v>
      </c>
      <c r="AG7">
        <f t="shared" si="6"/>
        <v>0.1275564028306034</v>
      </c>
      <c r="AH7">
        <f t="shared" si="7"/>
        <v>0.19219382619138936</v>
      </c>
      <c r="AI7">
        <f t="shared" si="8"/>
        <v>0.19977833231652961</v>
      </c>
      <c r="AJ7">
        <f t="shared" si="9"/>
        <v>0.15748522178414628</v>
      </c>
    </row>
    <row r="8" spans="1:36" x14ac:dyDescent="0.25">
      <c r="A8">
        <v>0.52661590163930705</v>
      </c>
      <c r="B8">
        <v>-0.38886586504166798</v>
      </c>
      <c r="C8">
        <v>-1</v>
      </c>
      <c r="G8">
        <v>-0.62316147847983105</v>
      </c>
      <c r="H8">
        <v>-0.137711389082292</v>
      </c>
      <c r="I8">
        <v>-1</v>
      </c>
      <c r="L8">
        <f t="shared" si="0"/>
        <v>0.12018598559925632</v>
      </c>
      <c r="M8">
        <f t="shared" si="1"/>
        <v>1.8342122205537756</v>
      </c>
      <c r="O8" s="7">
        <f t="shared" si="2"/>
        <v>3.5761683757053013E-2</v>
      </c>
      <c r="R8">
        <f>SUM(L2:L26)/24</f>
        <v>1.166154948933138</v>
      </c>
      <c r="S8">
        <f>SUM(M2:M26)/24</f>
        <v>2.3850110871234005</v>
      </c>
      <c r="T8">
        <f>SUM(L27:L51)/24</f>
        <v>0.49936181816103581</v>
      </c>
      <c r="U8">
        <f>SUM(M27:M51)/24</f>
        <v>4.4852429435488377</v>
      </c>
      <c r="AC8">
        <f t="shared" si="10"/>
        <v>0.70543651396883977</v>
      </c>
      <c r="AD8">
        <f t="shared" si="3"/>
        <v>-0.34893849902562479</v>
      </c>
      <c r="AE8">
        <f t="shared" si="4"/>
        <v>1</v>
      </c>
      <c r="AF8">
        <f t="shared" si="5"/>
        <v>2</v>
      </c>
      <c r="AG8">
        <f t="shared" si="6"/>
        <v>0.35087494565690636</v>
      </c>
      <c r="AH8">
        <f t="shared" si="7"/>
        <v>0.54434095154475659</v>
      </c>
      <c r="AI8">
        <f t="shared" si="8"/>
        <v>0.17585957073078129</v>
      </c>
      <c r="AJ8">
        <f t="shared" si="9"/>
        <v>0.16069021195955177</v>
      </c>
    </row>
    <row r="9" spans="1:36" x14ac:dyDescent="0.25">
      <c r="A9">
        <v>-1.7048601925509801</v>
      </c>
      <c r="B9">
        <v>3.3223978668187901</v>
      </c>
      <c r="C9">
        <v>-1</v>
      </c>
      <c r="G9">
        <v>-0.363293877407948</v>
      </c>
      <c r="H9">
        <v>0.237272076509562</v>
      </c>
      <c r="I9">
        <v>-1</v>
      </c>
      <c r="L9">
        <f t="shared" si="0"/>
        <v>3.552461953466763</v>
      </c>
      <c r="M9">
        <f t="shared" si="1"/>
        <v>5.5551323149772323</v>
      </c>
      <c r="O9" s="7">
        <f t="shared" si="2"/>
        <v>4.1586975333822454E-2</v>
      </c>
      <c r="R9">
        <f>SQRT(R8)</f>
        <v>1.0798865444726766</v>
      </c>
      <c r="S9">
        <f t="shared" ref="S9:U9" si="11">SQRT(S8)</f>
        <v>1.544348110732616</v>
      </c>
      <c r="T9">
        <f t="shared" si="11"/>
        <v>0.70665537439478643</v>
      </c>
      <c r="U9">
        <f t="shared" si="11"/>
        <v>2.1178392156981221</v>
      </c>
      <c r="AC9">
        <f t="shared" si="10"/>
        <v>44.047837970308045</v>
      </c>
      <c r="AD9">
        <f t="shared" si="3"/>
        <v>3.7852762699133744</v>
      </c>
      <c r="AE9">
        <f t="shared" si="4"/>
        <v>-1</v>
      </c>
      <c r="AF9">
        <f t="shared" si="5"/>
        <v>0</v>
      </c>
      <c r="AG9">
        <f t="shared" si="6"/>
        <v>8.0544432583550873E-2</v>
      </c>
      <c r="AH9">
        <f t="shared" si="7"/>
        <v>1.5857920850525103E-3</v>
      </c>
      <c r="AI9">
        <f t="shared" si="8"/>
        <v>8.0609967127606805E-2</v>
      </c>
      <c r="AJ9">
        <f t="shared" si="9"/>
        <v>9.2950863363165992E-2</v>
      </c>
    </row>
    <row r="10" spans="1:36" x14ac:dyDescent="0.25">
      <c r="A10">
        <v>1.2491751498100201</v>
      </c>
      <c r="B10">
        <v>-0.26461010310528199</v>
      </c>
      <c r="C10">
        <v>-1</v>
      </c>
      <c r="G10">
        <v>-0.194356712835666</v>
      </c>
      <c r="H10">
        <v>0.67790445736734695</v>
      </c>
      <c r="I10">
        <v>-1</v>
      </c>
      <c r="L10">
        <f t="shared" si="0"/>
        <v>1.1432693720968636</v>
      </c>
      <c r="M10">
        <f t="shared" si="1"/>
        <v>1.5130848760347266</v>
      </c>
      <c r="O10" s="7">
        <f t="shared" si="2"/>
        <v>4.4162237072877204E-2</v>
      </c>
      <c r="P10" t="s">
        <v>21</v>
      </c>
      <c r="R10" t="s">
        <v>20</v>
      </c>
      <c r="AC10">
        <f t="shared" si="10"/>
        <v>0.60352921753904587</v>
      </c>
      <c r="AD10">
        <f t="shared" si="3"/>
        <v>-0.50496082613004012</v>
      </c>
      <c r="AE10">
        <f t="shared" si="4"/>
        <v>1</v>
      </c>
      <c r="AF10">
        <f t="shared" si="5"/>
        <v>2</v>
      </c>
      <c r="AG10">
        <f t="shared" si="6"/>
        <v>0.22627999984808889</v>
      </c>
      <c r="AH10">
        <f t="shared" si="7"/>
        <v>0.42534691921688189</v>
      </c>
      <c r="AI10">
        <f t="shared" si="8"/>
        <v>0.18810640080561827</v>
      </c>
      <c r="AJ10">
        <f t="shared" si="9"/>
        <v>0.16580901997085598</v>
      </c>
    </row>
    <row r="11" spans="1:36" x14ac:dyDescent="0.25">
      <c r="A11">
        <v>0.11870196837399501</v>
      </c>
      <c r="B11">
        <v>1.8943195420265599</v>
      </c>
      <c r="C11">
        <v>-1</v>
      </c>
      <c r="G11">
        <v>-7.6693614386577097E-2</v>
      </c>
      <c r="H11">
        <v>0.86951696981086601</v>
      </c>
      <c r="I11">
        <v>-1</v>
      </c>
      <c r="L11">
        <f t="shared" si="0"/>
        <v>3.7497777154230486E-3</v>
      </c>
      <c r="M11">
        <f t="shared" si="1"/>
        <v>0.86277067207912306</v>
      </c>
      <c r="O11" s="7">
        <f t="shared" si="2"/>
        <v>4.62983030355167E-2</v>
      </c>
      <c r="P11">
        <f>1/SQRT(2*PI())</f>
        <v>0.3989422804014327</v>
      </c>
      <c r="R11">
        <f>$P$11*EXP((-1)*(G2-$R$5)*(G2-$R$5)/($R$8*2))/SQRT($R$8)</f>
        <v>8.0544432583550873E-2</v>
      </c>
      <c r="S11">
        <f>$P$11*EXP((-1)*(H2-$S$5)*(H2-$S$5)/($S$8*2))/SQRT($S$8)</f>
        <v>1.3570430105907524E-2</v>
      </c>
      <c r="T11">
        <f>$P$11*EXP((-1)*(G27-$T$5)*(G27-$T$5)/($T$8*2))/SQRT($T$8)</f>
        <v>5.7695074495712872E-2</v>
      </c>
      <c r="U11">
        <f>$P$11*EXP((-1)*(H27-$U$5)*(H27-$U$5)/($U$8*2))/SQRT($U$8)</f>
        <v>5.4012170232844485E-2</v>
      </c>
      <c r="AC11">
        <f t="shared" si="10"/>
        <v>1.2218911816236495</v>
      </c>
      <c r="AD11">
        <f t="shared" si="3"/>
        <v>0.20039980737645421</v>
      </c>
      <c r="AE11">
        <f t="shared" si="4"/>
        <v>1</v>
      </c>
      <c r="AF11">
        <f t="shared" si="5"/>
        <v>2</v>
      </c>
      <c r="AG11">
        <f t="shared" si="6"/>
        <v>0.36883633490150775</v>
      </c>
      <c r="AH11">
        <f t="shared" si="7"/>
        <v>0.39429773268891444</v>
      </c>
      <c r="AI11">
        <f t="shared" si="8"/>
        <v>0.21558199951503601</v>
      </c>
      <c r="AJ11">
        <f t="shared" si="9"/>
        <v>0.16504006393120202</v>
      </c>
    </row>
    <row r="12" spans="1:36" x14ac:dyDescent="0.25">
      <c r="A12">
        <v>-0.194356712835666</v>
      </c>
      <c r="B12">
        <v>0.237272076509562</v>
      </c>
      <c r="C12">
        <v>-1</v>
      </c>
      <c r="G12">
        <v>9.79969643381257E-2</v>
      </c>
      <c r="H12">
        <v>0.88896760764255001</v>
      </c>
      <c r="I12">
        <v>-1</v>
      </c>
      <c r="L12">
        <f t="shared" si="0"/>
        <v>0.14009608063574541</v>
      </c>
      <c r="M12">
        <f t="shared" si="1"/>
        <v>0.53026500293956869</v>
      </c>
      <c r="O12" s="7">
        <f t="shared" si="2"/>
        <v>4.752080288191942E-2</v>
      </c>
      <c r="R12">
        <f t="shared" ref="R12:R35" si="12">$P$11*EXP((-1)*(G3-$R$5)*(G3-$R$5)/($R$8*2))/SQRT($R$8)</f>
        <v>0.11153057208281097</v>
      </c>
      <c r="S12">
        <f t="shared" ref="S12:S35" si="13">$P$11*EXP((-1)*(H3-$S$5)*(H3-$S$5)/($S$8*2))/SQRT($S$8)</f>
        <v>3.3228639968257777E-2</v>
      </c>
      <c r="T12">
        <f t="shared" ref="T12:T35" si="14">$P$11*EXP((-1)*(G28-$T$5)*(G28-$T$5)/($T$8*2))/SQRT($T$8)</f>
        <v>0.25786995455179756</v>
      </c>
      <c r="U12">
        <f t="shared" ref="U12:U35" si="15">$P$11*EXP((-1)*(H28-$U$5)*(H28-$U$5)/($U$8*2))/SQRT($U$8)</f>
        <v>6.4664456005786214E-2</v>
      </c>
      <c r="AC12">
        <f t="shared" si="10"/>
        <v>1.8019138090334135</v>
      </c>
      <c r="AD12">
        <f t="shared" si="3"/>
        <v>0.58884932731714479</v>
      </c>
      <c r="AE12">
        <f t="shared" si="4"/>
        <v>1</v>
      </c>
      <c r="AF12">
        <f t="shared" si="5"/>
        <v>2</v>
      </c>
      <c r="AG12">
        <f t="shared" si="6"/>
        <v>0.34789240037155988</v>
      </c>
      <c r="AH12">
        <f t="shared" si="7"/>
        <v>0.24558124272848386</v>
      </c>
      <c r="AI12">
        <f t="shared" si="8"/>
        <v>0.23114580659052977</v>
      </c>
      <c r="AJ12">
        <f t="shared" si="9"/>
        <v>0.18171959259915177</v>
      </c>
    </row>
    <row r="13" spans="1:36" x14ac:dyDescent="0.25">
      <c r="A13">
        <v>1.2511310476748601</v>
      </c>
      <c r="B13">
        <v>0.86951696981086601</v>
      </c>
      <c r="C13">
        <v>-1</v>
      </c>
      <c r="G13">
        <v>0.11870196837399501</v>
      </c>
      <c r="H13">
        <v>0.97010164258990395</v>
      </c>
      <c r="I13">
        <v>-1</v>
      </c>
      <c r="L13">
        <f t="shared" si="0"/>
        <v>1.1474558373088906</v>
      </c>
      <c r="M13">
        <f t="shared" si="1"/>
        <v>9.2060336042932376E-3</v>
      </c>
      <c r="O13" s="7">
        <f t="shared" si="2"/>
        <v>4.7799922911563035E-2</v>
      </c>
      <c r="R13">
        <f t="shared" si="12"/>
        <v>0.12428086491697898</v>
      </c>
      <c r="S13">
        <f t="shared" si="13"/>
        <v>0.14622458022984261</v>
      </c>
      <c r="T13">
        <f t="shared" si="14"/>
        <v>0.32872629575970513</v>
      </c>
      <c r="U13">
        <f t="shared" si="15"/>
        <v>7.9852729686065591E-2</v>
      </c>
      <c r="AC13">
        <f t="shared" si="10"/>
        <v>0.72868431003430134</v>
      </c>
      <c r="AD13">
        <f t="shared" si="3"/>
        <v>-0.31651468598507571</v>
      </c>
      <c r="AE13">
        <f t="shared" si="4"/>
        <v>1</v>
      </c>
      <c r="AF13">
        <f t="shared" si="5"/>
        <v>2</v>
      </c>
      <c r="AG13">
        <f t="shared" si="6"/>
        <v>0.22587419457776012</v>
      </c>
      <c r="AH13">
        <f t="shared" si="7"/>
        <v>0.42446031468228451</v>
      </c>
      <c r="AI13">
        <f t="shared" si="8"/>
        <v>0.25782598539803747</v>
      </c>
      <c r="AJ13">
        <f t="shared" si="9"/>
        <v>0.18828546406883492</v>
      </c>
    </row>
    <row r="14" spans="1:36" x14ac:dyDescent="0.25">
      <c r="A14">
        <v>-0.62316147847983105</v>
      </c>
      <c r="B14">
        <v>0.88896760764255001</v>
      </c>
      <c r="C14">
        <v>-1</v>
      </c>
      <c r="G14">
        <v>0.13484868272473599</v>
      </c>
      <c r="H14">
        <v>1.0095662243699299</v>
      </c>
      <c r="I14">
        <v>-1</v>
      </c>
      <c r="L14">
        <f t="shared" si="0"/>
        <v>0.64496780374991936</v>
      </c>
      <c r="M14">
        <f t="shared" si="1"/>
        <v>5.851858298408316E-3</v>
      </c>
      <c r="O14" s="7">
        <f t="shared" si="2"/>
        <v>4.9187519639480703E-2</v>
      </c>
      <c r="R14">
        <f t="shared" si="12"/>
        <v>0.12722433873781228</v>
      </c>
      <c r="S14">
        <f t="shared" si="13"/>
        <v>0.17585957073078129</v>
      </c>
      <c r="T14">
        <f t="shared" si="14"/>
        <v>0.33623102137955163</v>
      </c>
      <c r="U14">
        <f t="shared" si="15"/>
        <v>0.12086743181791829</v>
      </c>
      <c r="AC14">
        <f t="shared" si="10"/>
        <v>4.1132107562447455</v>
      </c>
      <c r="AD14">
        <f t="shared" si="3"/>
        <v>1.4142039294246056</v>
      </c>
      <c r="AE14">
        <f t="shared" si="4"/>
        <v>-1</v>
      </c>
      <c r="AF14">
        <f t="shared" si="5"/>
        <v>0</v>
      </c>
      <c r="AG14">
        <f t="shared" si="6"/>
        <v>0.28017788236504249</v>
      </c>
      <c r="AH14">
        <f t="shared" si="7"/>
        <v>9.3370055668902441E-2</v>
      </c>
      <c r="AI14">
        <f t="shared" si="8"/>
        <v>0.25800734675131337</v>
      </c>
      <c r="AJ14">
        <f t="shared" si="9"/>
        <v>0.18822501506514111</v>
      </c>
    </row>
    <row r="15" spans="1:36" x14ac:dyDescent="0.25">
      <c r="A15">
        <v>2.2204265518614199</v>
      </c>
      <c r="B15">
        <v>0.97010164258990395</v>
      </c>
      <c r="C15">
        <v>-1</v>
      </c>
      <c r="G15">
        <v>0.15482623664997999</v>
      </c>
      <c r="H15">
        <v>1.07065245753176</v>
      </c>
      <c r="I15">
        <v>-1</v>
      </c>
      <c r="L15">
        <f t="shared" si="0"/>
        <v>4.1635959912266145</v>
      </c>
      <c r="M15">
        <f t="shared" si="1"/>
        <v>2.1498014411745102E-5</v>
      </c>
      <c r="O15" s="7">
        <f t="shared" si="2"/>
        <v>5.2088261897638023E-2</v>
      </c>
      <c r="R15">
        <f t="shared" si="12"/>
        <v>0.22579490084536422</v>
      </c>
      <c r="S15">
        <f t="shared" si="13"/>
        <v>0.18114691190926926</v>
      </c>
      <c r="T15">
        <f t="shared" si="14"/>
        <v>0.43492433832260391</v>
      </c>
      <c r="U15">
        <f t="shared" si="15"/>
        <v>0.13419839908005007</v>
      </c>
      <c r="AC15">
        <f t="shared" si="10"/>
        <v>1.4498854025906724</v>
      </c>
      <c r="AD15">
        <f t="shared" si="3"/>
        <v>0.37148452061314696</v>
      </c>
      <c r="AE15">
        <f t="shared" si="4"/>
        <v>1</v>
      </c>
      <c r="AF15">
        <f t="shared" si="5"/>
        <v>2</v>
      </c>
      <c r="AG15">
        <f t="shared" si="6"/>
        <v>6.1977999293798519E-2</v>
      </c>
      <c r="AH15">
        <f t="shared" si="7"/>
        <v>5.8798498241833724E-2</v>
      </c>
      <c r="AI15">
        <f t="shared" si="8"/>
        <v>0.25832289989537788</v>
      </c>
      <c r="AJ15">
        <f t="shared" si="9"/>
        <v>0.18780214515359769</v>
      </c>
    </row>
    <row r="16" spans="1:36" x14ac:dyDescent="0.25">
      <c r="A16">
        <v>-7.6693614386577097E-2</v>
      </c>
      <c r="B16">
        <v>-0.335654402615848</v>
      </c>
      <c r="C16">
        <v>-1</v>
      </c>
      <c r="G16">
        <v>0.33086589114599002</v>
      </c>
      <c r="H16">
        <v>1.5226099066118901</v>
      </c>
      <c r="I16">
        <v>-1</v>
      </c>
      <c r="L16">
        <f t="shared" si="0"/>
        <v>6.5859475990262623E-2</v>
      </c>
      <c r="M16">
        <f t="shared" si="1"/>
        <v>1.6929118233620024</v>
      </c>
      <c r="O16" s="7">
        <f t="shared" si="2"/>
        <v>5.2578200372667236E-2</v>
      </c>
      <c r="R16">
        <f t="shared" si="12"/>
        <v>0.27661553123213511</v>
      </c>
      <c r="S16">
        <f t="shared" si="13"/>
        <v>0.18810640080561827</v>
      </c>
      <c r="T16">
        <f t="shared" si="14"/>
        <v>0.45040191997951717</v>
      </c>
      <c r="U16">
        <f t="shared" si="15"/>
        <v>0.15128614848191915</v>
      </c>
      <c r="AC16">
        <f t="shared" si="10"/>
        <v>1.3298918611655672</v>
      </c>
      <c r="AD16">
        <f t="shared" si="3"/>
        <v>0.28509763153372669</v>
      </c>
      <c r="AE16">
        <f t="shared" si="4"/>
        <v>1</v>
      </c>
      <c r="AF16">
        <f t="shared" si="5"/>
        <v>2</v>
      </c>
      <c r="AG16">
        <f t="shared" si="6"/>
        <v>0.35914380751063824</v>
      </c>
      <c r="AH16">
        <f t="shared" si="7"/>
        <v>0.30024683651183998</v>
      </c>
      <c r="AI16">
        <f t="shared" si="8"/>
        <v>0.18114691190926926</v>
      </c>
      <c r="AJ16">
        <f t="shared" si="9"/>
        <v>0.16293130986113682</v>
      </c>
    </row>
    <row r="17" spans="1:36" x14ac:dyDescent="0.25">
      <c r="A17">
        <v>-1.4140693136420801</v>
      </c>
      <c r="B17">
        <v>2.6974073369451199</v>
      </c>
      <c r="C17">
        <v>-1</v>
      </c>
      <c r="G17">
        <v>0.52661590163930705</v>
      </c>
      <c r="H17">
        <v>1.62568721833194</v>
      </c>
      <c r="I17">
        <v>-1</v>
      </c>
      <c r="L17">
        <f t="shared" si="0"/>
        <v>2.5408573934785981</v>
      </c>
      <c r="M17">
        <f t="shared" si="1"/>
        <v>2.9996240941118506</v>
      </c>
      <c r="O17" s="7">
        <f t="shared" si="2"/>
        <v>5.2423887427188585E-2</v>
      </c>
      <c r="R17">
        <f t="shared" si="12"/>
        <v>0.28017788236504249</v>
      </c>
      <c r="S17">
        <f t="shared" si="13"/>
        <v>0.20015261365080333</v>
      </c>
      <c r="T17">
        <f t="shared" si="14"/>
        <v>0.45288901493517553</v>
      </c>
      <c r="U17">
        <f t="shared" si="15"/>
        <v>0.15792692062611313</v>
      </c>
      <c r="AC17">
        <f t="shared" si="10"/>
        <v>22.683899277205626</v>
      </c>
      <c r="AD17">
        <f t="shared" si="3"/>
        <v>3.1216553898847215</v>
      </c>
      <c r="AE17">
        <f t="shared" si="4"/>
        <v>-1</v>
      </c>
      <c r="AF17">
        <f t="shared" si="5"/>
        <v>0</v>
      </c>
      <c r="AG17">
        <f t="shared" si="6"/>
        <v>0.12428086491697898</v>
      </c>
      <c r="AH17">
        <f t="shared" si="7"/>
        <v>5.971341288389798E-3</v>
      </c>
      <c r="AI17">
        <f t="shared" si="8"/>
        <v>0.1377397136569235</v>
      </c>
      <c r="AJ17">
        <f t="shared" si="9"/>
        <v>0.12637868696270438</v>
      </c>
    </row>
    <row r="18" spans="1:36" x14ac:dyDescent="0.25">
      <c r="A18">
        <v>-0.363293877407948</v>
      </c>
      <c r="B18">
        <v>2.3033852530773302</v>
      </c>
      <c r="C18">
        <v>-1</v>
      </c>
      <c r="G18">
        <v>0.56044933151451404</v>
      </c>
      <c r="H18">
        <v>1.7078319468522101</v>
      </c>
      <c r="I18">
        <v>-1</v>
      </c>
      <c r="L18">
        <f t="shared" si="0"/>
        <v>0.29510021746305781</v>
      </c>
      <c r="M18">
        <f t="shared" si="1"/>
        <v>1.790030476602898</v>
      </c>
      <c r="O18" s="7">
        <f t="shared" si="2"/>
        <v>4.1500639290568429E-2</v>
      </c>
      <c r="R18">
        <f t="shared" si="12"/>
        <v>0.32552320294928105</v>
      </c>
      <c r="S18">
        <f t="shared" si="13"/>
        <v>0.23114580659052977</v>
      </c>
      <c r="T18">
        <f t="shared" si="14"/>
        <v>0.49872264079619244</v>
      </c>
      <c r="U18">
        <f t="shared" si="15"/>
        <v>0.16677396184552748</v>
      </c>
      <c r="AC18">
        <f t="shared" si="10"/>
        <v>2.2469791686462939</v>
      </c>
      <c r="AD18">
        <f t="shared" si="3"/>
        <v>0.80958672241980634</v>
      </c>
      <c r="AE18">
        <f t="shared" si="4"/>
        <v>1</v>
      </c>
      <c r="AF18">
        <f t="shared" si="5"/>
        <v>2</v>
      </c>
      <c r="AG18">
        <f t="shared" si="6"/>
        <v>0.32552320294928105</v>
      </c>
      <c r="AH18">
        <f t="shared" si="7"/>
        <v>0.17531626638250561</v>
      </c>
      <c r="AI18">
        <f t="shared" si="8"/>
        <v>0.17749601536828585</v>
      </c>
      <c r="AJ18">
        <f t="shared" si="9"/>
        <v>0.14667270405915897</v>
      </c>
    </row>
    <row r="19" spans="1:36" x14ac:dyDescent="0.25">
      <c r="A19">
        <v>1.27026809162857</v>
      </c>
      <c r="B19">
        <v>2.2358629041015701</v>
      </c>
      <c r="C19">
        <v>-1</v>
      </c>
      <c r="G19">
        <v>1.035633516623</v>
      </c>
      <c r="H19">
        <v>1.8943195420265599</v>
      </c>
      <c r="I19">
        <v>-1</v>
      </c>
      <c r="L19">
        <f t="shared" si="0"/>
        <v>1.1888210237130976</v>
      </c>
      <c r="M19">
        <f t="shared" si="1"/>
        <v>1.6139107141630835</v>
      </c>
      <c r="O19" s="7">
        <f t="shared" si="2"/>
        <v>3.9322420973693671E-2</v>
      </c>
      <c r="R19">
        <f t="shared" si="12"/>
        <v>0.34789240037155988</v>
      </c>
      <c r="S19">
        <f t="shared" si="13"/>
        <v>0.25388445982557001</v>
      </c>
      <c r="T19">
        <f t="shared" si="14"/>
        <v>0.50459914415160756</v>
      </c>
      <c r="U19">
        <f t="shared" si="15"/>
        <v>0.17369541336837999</v>
      </c>
      <c r="AC19">
        <f t="shared" si="10"/>
        <v>0.65564540256008641</v>
      </c>
      <c r="AD19">
        <f t="shared" si="3"/>
        <v>-0.42213518106301601</v>
      </c>
      <c r="AE19">
        <f t="shared" si="4"/>
        <v>1</v>
      </c>
      <c r="AF19">
        <f t="shared" si="5"/>
        <v>2</v>
      </c>
      <c r="AG19">
        <f t="shared" si="6"/>
        <v>0.2219034698763106</v>
      </c>
      <c r="AH19">
        <f t="shared" si="7"/>
        <v>0.41571438492307278</v>
      </c>
      <c r="AI19">
        <f t="shared" si="8"/>
        <v>0.18417204915120275</v>
      </c>
      <c r="AJ19">
        <f t="shared" si="9"/>
        <v>0.14994215234746222</v>
      </c>
    </row>
    <row r="20" spans="1:36" x14ac:dyDescent="0.25">
      <c r="A20">
        <v>0.33086589114599002</v>
      </c>
      <c r="B20">
        <v>1.07065245753176</v>
      </c>
      <c r="C20">
        <v>-1</v>
      </c>
      <c r="G20">
        <v>1.2491751498100201</v>
      </c>
      <c r="H20">
        <v>2.0726806747798099</v>
      </c>
      <c r="I20">
        <v>-1</v>
      </c>
      <c r="L20">
        <f t="shared" si="0"/>
        <v>2.2779410354018353E-2</v>
      </c>
      <c r="M20">
        <f t="shared" si="1"/>
        <v>1.1064391237901695E-2</v>
      </c>
      <c r="O20" s="7">
        <f t="shared" si="2"/>
        <v>3.3792471782903941E-2</v>
      </c>
      <c r="R20">
        <f t="shared" si="12"/>
        <v>0.35914380751063824</v>
      </c>
      <c r="S20">
        <f t="shared" si="13"/>
        <v>0.25782598539803747</v>
      </c>
      <c r="T20">
        <f t="shared" si="14"/>
        <v>0.504854282027835</v>
      </c>
      <c r="U20">
        <f t="shared" si="15"/>
        <v>0.17373525495210146</v>
      </c>
      <c r="AC20">
        <f t="shared" si="10"/>
        <v>1.0378082284626089</v>
      </c>
      <c r="AD20">
        <f t="shared" si="3"/>
        <v>3.7111016675715286E-2</v>
      </c>
      <c r="AE20">
        <f t="shared" si="4"/>
        <v>1</v>
      </c>
      <c r="AF20">
        <f t="shared" si="5"/>
        <v>2</v>
      </c>
      <c r="AG20">
        <f t="shared" si="6"/>
        <v>0.36583919291427464</v>
      </c>
      <c r="AH20">
        <f t="shared" si="7"/>
        <v>0.48609937734962622</v>
      </c>
      <c r="AI20">
        <f t="shared" si="8"/>
        <v>0.25772555828264876</v>
      </c>
      <c r="AJ20">
        <f t="shared" si="9"/>
        <v>0.1868983833459488</v>
      </c>
    </row>
    <row r="21" spans="1:36" x14ac:dyDescent="0.25">
      <c r="A21">
        <v>1.2693096197859599</v>
      </c>
      <c r="B21">
        <v>-0.68210353573308702</v>
      </c>
      <c r="C21">
        <v>-1</v>
      </c>
      <c r="G21">
        <v>1.2511310476748601</v>
      </c>
      <c r="H21">
        <v>2.1786126808464501</v>
      </c>
      <c r="I21">
        <v>-1</v>
      </c>
      <c r="L21">
        <f t="shared" si="0"/>
        <v>1.1867318398414446</v>
      </c>
      <c r="M21">
        <f t="shared" si="1"/>
        <v>2.7144822363202223</v>
      </c>
      <c r="O21" s="7">
        <f t="shared" si="2"/>
        <v>2.2504376264996014E-2</v>
      </c>
      <c r="R21">
        <f t="shared" si="12"/>
        <v>0.3683678273527885</v>
      </c>
      <c r="S21">
        <f t="shared" si="13"/>
        <v>0.25800734675131337</v>
      </c>
      <c r="T21">
        <f t="shared" si="14"/>
        <v>0.51281748624749335</v>
      </c>
      <c r="U21">
        <f t="shared" si="15"/>
        <v>0.17668041872347989</v>
      </c>
      <c r="AC21">
        <f t="shared" si="10"/>
        <v>0.53014560790130527</v>
      </c>
      <c r="AD21">
        <f t="shared" si="3"/>
        <v>-0.63460357827860914</v>
      </c>
      <c r="AE21">
        <f t="shared" si="4"/>
        <v>1</v>
      </c>
      <c r="AF21">
        <f t="shared" si="5"/>
        <v>2</v>
      </c>
      <c r="AG21">
        <f t="shared" si="6"/>
        <v>0.22210233060577703</v>
      </c>
      <c r="AH21">
        <f t="shared" si="7"/>
        <v>0.41615536370380724</v>
      </c>
      <c r="AI21">
        <f t="shared" si="8"/>
        <v>0.14622458022984261</v>
      </c>
      <c r="AJ21">
        <f t="shared" si="9"/>
        <v>0.14720509261298359</v>
      </c>
    </row>
    <row r="22" spans="1:36" x14ac:dyDescent="0.25">
      <c r="A22">
        <v>0.56044933151451404</v>
      </c>
      <c r="B22">
        <v>-0.137711389082292</v>
      </c>
      <c r="C22">
        <v>-1</v>
      </c>
      <c r="G22">
        <v>1.2693096197859599</v>
      </c>
      <c r="H22">
        <v>2.2358629041015701</v>
      </c>
      <c r="I22">
        <v>-1</v>
      </c>
      <c r="L22">
        <f t="shared" si="0"/>
        <v>0.14478933233027025</v>
      </c>
      <c r="M22">
        <f t="shared" si="1"/>
        <v>1.216998250139034</v>
      </c>
      <c r="O22" s="7">
        <f t="shared" si="2"/>
        <v>2.0639404287357568E-2</v>
      </c>
      <c r="R22">
        <f t="shared" si="12"/>
        <v>0.36883633490150775</v>
      </c>
      <c r="S22">
        <f t="shared" si="13"/>
        <v>0.25832289989537788</v>
      </c>
      <c r="T22">
        <f t="shared" si="14"/>
        <v>0.51465810285478797</v>
      </c>
      <c r="U22">
        <f t="shared" si="15"/>
        <v>0.18575408663117812</v>
      </c>
      <c r="AC22">
        <f t="shared" si="10"/>
        <v>0.73955601971531337</v>
      </c>
      <c r="AD22">
        <f t="shared" si="3"/>
        <v>-0.30170524619764405</v>
      </c>
      <c r="AE22">
        <f t="shared" si="4"/>
        <v>1</v>
      </c>
      <c r="AF22">
        <f t="shared" si="5"/>
        <v>2</v>
      </c>
      <c r="AG22">
        <f t="shared" si="6"/>
        <v>0.34719304865511885</v>
      </c>
      <c r="AH22">
        <f t="shared" si="7"/>
        <v>0.55079204290919193</v>
      </c>
      <c r="AI22">
        <f t="shared" si="8"/>
        <v>0.20015261365080333</v>
      </c>
      <c r="AJ22">
        <f t="shared" si="9"/>
        <v>0.17059784978128736</v>
      </c>
    </row>
    <row r="23" spans="1:36" x14ac:dyDescent="0.25">
      <c r="A23">
        <v>9.79969643381257E-2</v>
      </c>
      <c r="B23">
        <v>1.7078319468522101</v>
      </c>
      <c r="C23">
        <v>-1</v>
      </c>
      <c r="G23">
        <v>1.27026809162857</v>
      </c>
      <c r="H23">
        <v>2.3033852530773302</v>
      </c>
      <c r="I23">
        <v>-1</v>
      </c>
      <c r="L23">
        <f t="shared" si="0"/>
        <v>6.714234500014642E-3</v>
      </c>
      <c r="M23">
        <f t="shared" si="1"/>
        <v>0.55110861331530059</v>
      </c>
      <c r="O23" s="7">
        <f t="shared" si="2"/>
        <v>1.9693490849720791E-2</v>
      </c>
      <c r="R23">
        <f t="shared" si="12"/>
        <v>0.36910793088577398</v>
      </c>
      <c r="S23">
        <f t="shared" si="13"/>
        <v>0.2582187573641383</v>
      </c>
      <c r="T23">
        <f t="shared" si="14"/>
        <v>0.52559596236077955</v>
      </c>
      <c r="U23">
        <f t="shared" si="15"/>
        <v>0.1871685597375933</v>
      </c>
      <c r="AC23">
        <f t="shared" si="10"/>
        <v>1.2818619304764205</v>
      </c>
      <c r="AD23">
        <f t="shared" si="3"/>
        <v>0.24831365416224105</v>
      </c>
      <c r="AE23">
        <f t="shared" si="4"/>
        <v>1</v>
      </c>
      <c r="AF23">
        <f t="shared" si="5"/>
        <v>2</v>
      </c>
      <c r="AG23">
        <f t="shared" si="6"/>
        <v>0.3683678273527885</v>
      </c>
      <c r="AH23">
        <f t="shared" si="7"/>
        <v>0.38446486216504416</v>
      </c>
      <c r="AI23">
        <f t="shared" si="8"/>
        <v>0.23013797018375159</v>
      </c>
      <c r="AJ23">
        <f t="shared" si="9"/>
        <v>0.1720172764269858</v>
      </c>
    </row>
    <row r="24" spans="1:36" x14ac:dyDescent="0.25">
      <c r="A24">
        <v>0.13484868272473599</v>
      </c>
      <c r="B24">
        <v>1.5226099066118901</v>
      </c>
      <c r="C24">
        <v>-1</v>
      </c>
      <c r="G24">
        <v>1.32123115190245</v>
      </c>
      <c r="H24">
        <v>2.6974073369451199</v>
      </c>
      <c r="I24">
        <v>-1</v>
      </c>
      <c r="L24">
        <f t="shared" si="0"/>
        <v>2.0329921523548553E-3</v>
      </c>
      <c r="M24">
        <f t="shared" si="1"/>
        <v>0.31041039408095311</v>
      </c>
      <c r="O24" s="7">
        <f t="shared" si="2"/>
        <v>1.4555119473675151E-2</v>
      </c>
      <c r="R24">
        <f t="shared" si="12"/>
        <v>0.36932994283341536</v>
      </c>
      <c r="S24">
        <f t="shared" si="13"/>
        <v>0.25772555828264876</v>
      </c>
      <c r="T24">
        <f t="shared" si="14"/>
        <v>0.55574422561693215</v>
      </c>
      <c r="U24">
        <f t="shared" si="15"/>
        <v>0.18745408227972066</v>
      </c>
      <c r="AC24">
        <f t="shared" si="10"/>
        <v>1.2497937285109504</v>
      </c>
      <c r="AD24">
        <f t="shared" si="3"/>
        <v>0.22297852050613534</v>
      </c>
      <c r="AE24">
        <f t="shared" si="4"/>
        <v>1</v>
      </c>
      <c r="AF24">
        <f t="shared" si="5"/>
        <v>2</v>
      </c>
      <c r="AG24">
        <f t="shared" si="6"/>
        <v>0.36910793088577398</v>
      </c>
      <c r="AH24">
        <f t="shared" si="7"/>
        <v>0.40190053882619076</v>
      </c>
      <c r="AI24">
        <f t="shared" si="8"/>
        <v>0.24204886020918545</v>
      </c>
      <c r="AJ24">
        <f t="shared" si="9"/>
        <v>0.17786868293455377</v>
      </c>
    </row>
    <row r="25" spans="1:36" x14ac:dyDescent="0.25">
      <c r="A25">
        <v>1.035633516623</v>
      </c>
      <c r="B25">
        <v>1.0095662243699299</v>
      </c>
      <c r="C25">
        <v>-1</v>
      </c>
      <c r="E25" s="2" t="s">
        <v>4</v>
      </c>
      <c r="G25">
        <v>1.75479716503808</v>
      </c>
      <c r="H25">
        <v>3.3223978668187901</v>
      </c>
      <c r="I25">
        <v>-1</v>
      </c>
      <c r="L25">
        <f t="shared" si="0"/>
        <v>0.73221584918799076</v>
      </c>
      <c r="M25">
        <f t="shared" si="1"/>
        <v>1.9449138049655013E-3</v>
      </c>
      <c r="O25" s="7">
        <f t="shared" si="2"/>
        <v>5.1411587195453563E-3</v>
      </c>
      <c r="R25">
        <f t="shared" si="12"/>
        <v>0.36583919291427464</v>
      </c>
      <c r="S25">
        <f t="shared" si="13"/>
        <v>0.24204886020918545</v>
      </c>
      <c r="T25">
        <f t="shared" si="14"/>
        <v>0.55902769783360295</v>
      </c>
      <c r="U25">
        <f t="shared" si="15"/>
        <v>0.18810588661858171</v>
      </c>
      <c r="AC25">
        <f t="shared" si="10"/>
        <v>0.72863572764603635</v>
      </c>
      <c r="AD25">
        <f t="shared" si="3"/>
        <v>-0.31658135958734129</v>
      </c>
      <c r="AE25">
        <f t="shared" si="4"/>
        <v>1</v>
      </c>
      <c r="AF25">
        <f t="shared" si="5"/>
        <v>2</v>
      </c>
      <c r="AG25">
        <f t="shared" si="6"/>
        <v>0.26989048571063767</v>
      </c>
      <c r="AH25">
        <f t="shared" si="7"/>
        <v>0.51011711287524508</v>
      </c>
      <c r="AI25">
        <f t="shared" si="8"/>
        <v>0.2582187573641383</v>
      </c>
      <c r="AJ25">
        <f t="shared" si="9"/>
        <v>0.1874972948425955</v>
      </c>
    </row>
    <row r="26" spans="1:36" ht="15.75" thickBot="1" x14ac:dyDescent="0.3">
      <c r="A26">
        <v>-0.64153222416655697</v>
      </c>
      <c r="B26">
        <v>2.1786126808464501</v>
      </c>
      <c r="C26">
        <v>-1</v>
      </c>
      <c r="D26" s="2" t="s">
        <v>4</v>
      </c>
      <c r="E26" s="2" t="s">
        <v>3</v>
      </c>
      <c r="F26" s="2" t="s">
        <v>4</v>
      </c>
      <c r="G26" s="1">
        <v>2.2204265518614199</v>
      </c>
      <c r="H26" s="1">
        <v>3.60641250937352</v>
      </c>
      <c r="I26" s="1">
        <v>-1</v>
      </c>
      <c r="L26" s="1">
        <f t="shared" si="0"/>
        <v>0.67481233845140054</v>
      </c>
      <c r="M26" s="1">
        <f t="shared" si="1"/>
        <v>1.4717271803945713</v>
      </c>
      <c r="O26" s="8">
        <f t="shared" si="2"/>
        <v>1.8550611163767664E-3</v>
      </c>
      <c r="R26">
        <f t="shared" si="12"/>
        <v>0.35087494565690636</v>
      </c>
      <c r="S26">
        <f t="shared" si="13"/>
        <v>0.23576440859560871</v>
      </c>
      <c r="T26">
        <f t="shared" si="14"/>
        <v>0.55712669821295346</v>
      </c>
      <c r="U26">
        <f t="shared" si="15"/>
        <v>0.18819377206421484</v>
      </c>
      <c r="AC26">
        <f t="shared" si="10"/>
        <v>3.8699688183090437</v>
      </c>
      <c r="AD26">
        <f t="shared" si="3"/>
        <v>1.3532464497247456</v>
      </c>
      <c r="AE26">
        <f t="shared" si="4"/>
        <v>-1</v>
      </c>
      <c r="AF26">
        <f t="shared" si="5"/>
        <v>0</v>
      </c>
      <c r="AG26">
        <f t="shared" si="6"/>
        <v>0.27661553123213511</v>
      </c>
      <c r="AH26">
        <f t="shared" si="7"/>
        <v>8.8846914477195602E-2</v>
      </c>
      <c r="AI26">
        <f t="shared" si="8"/>
        <v>0.18974443743297545</v>
      </c>
      <c r="AJ26">
        <f t="shared" si="9"/>
        <v>0.15264964481354051</v>
      </c>
    </row>
    <row r="27" spans="1:36" x14ac:dyDescent="0.25">
      <c r="A27">
        <v>1.66079890453533</v>
      </c>
      <c r="B27">
        <v>2.6196506272837401</v>
      </c>
      <c r="C27">
        <v>1</v>
      </c>
      <c r="E27" s="2" t="s">
        <v>4</v>
      </c>
      <c r="G27">
        <v>-0.79186552518030695</v>
      </c>
      <c r="H27">
        <v>-2.5423433104640001</v>
      </c>
      <c r="I27">
        <v>1</v>
      </c>
      <c r="L27" s="3">
        <f>(A27-$T$5)*(A27-$T$5)</f>
        <v>0.88996180738436137</v>
      </c>
      <c r="M27" s="3">
        <f>(B27-$U$5)*(B27-$U$5)</f>
        <v>3.2922399682968382</v>
      </c>
      <c r="R27">
        <f t="shared" si="12"/>
        <v>0.34719304865511885</v>
      </c>
      <c r="S27">
        <f t="shared" si="13"/>
        <v>0.23013797018375159</v>
      </c>
      <c r="T27">
        <f t="shared" si="14"/>
        <v>0.45101181236716609</v>
      </c>
      <c r="U27">
        <f t="shared" si="15"/>
        <v>0.18403349159637086</v>
      </c>
      <c r="AC27">
        <f t="shared" si="10"/>
        <v>0.69484503331937453</v>
      </c>
      <c r="AD27">
        <f t="shared" si="3"/>
        <v>-0.36406643192085081</v>
      </c>
      <c r="AE27">
        <f t="shared" si="4"/>
        <v>1</v>
      </c>
      <c r="AF27">
        <f t="shared" si="5"/>
        <v>0</v>
      </c>
      <c r="AG27">
        <f t="shared" si="6"/>
        <v>0.14427371517898649</v>
      </c>
      <c r="AH27">
        <f t="shared" si="7"/>
        <v>0.23158101092572844</v>
      </c>
      <c r="AI27">
        <f t="shared" si="8"/>
        <v>0.14555637259561272</v>
      </c>
      <c r="AJ27">
        <f t="shared" si="9"/>
        <v>0.1305051158221282</v>
      </c>
    </row>
    <row r="28" spans="1:36" x14ac:dyDescent="0.25">
      <c r="A28">
        <v>1.6448127823949801</v>
      </c>
      <c r="B28">
        <v>0.89742842736454398</v>
      </c>
      <c r="C28">
        <v>1</v>
      </c>
      <c r="G28">
        <v>-0.167210751400338</v>
      </c>
      <c r="H28">
        <v>-2.2917883757367199</v>
      </c>
      <c r="I28">
        <v>1</v>
      </c>
      <c r="L28" s="3">
        <f t="shared" ref="L28:L51" si="16">(A28-$T$5)*(A28-$T$5)</f>
        <v>0.86005545574666142</v>
      </c>
      <c r="M28" s="3">
        <f t="shared" ref="M28:M51" si="17">(B28-$U$5)*(B28-$U$5)</f>
        <v>8.5065346699169618E-3</v>
      </c>
      <c r="R28">
        <f t="shared" si="12"/>
        <v>0.26989048571063767</v>
      </c>
      <c r="S28">
        <f t="shared" si="13"/>
        <v>0.21558199951503601</v>
      </c>
      <c r="T28">
        <f t="shared" si="14"/>
        <v>0.42949802148639638</v>
      </c>
      <c r="U28">
        <f t="shared" si="15"/>
        <v>0.18310874093253135</v>
      </c>
      <c r="AC28">
        <f t="shared" si="10"/>
        <v>0.84603118290081714</v>
      </c>
      <c r="AD28">
        <f t="shared" si="3"/>
        <v>-0.16719906083437414</v>
      </c>
      <c r="AE28">
        <f t="shared" si="4"/>
        <v>1</v>
      </c>
      <c r="AF28">
        <f t="shared" si="5"/>
        <v>0</v>
      </c>
      <c r="AG28">
        <f t="shared" si="6"/>
        <v>0.14721630526200424</v>
      </c>
      <c r="AH28">
        <f t="shared" si="7"/>
        <v>0.23862047601628278</v>
      </c>
      <c r="AI28">
        <f t="shared" si="8"/>
        <v>0.25807349981907257</v>
      </c>
      <c r="AJ28">
        <f t="shared" si="9"/>
        <v>0.18819377206421484</v>
      </c>
    </row>
    <row r="29" spans="1:36" x14ac:dyDescent="0.25">
      <c r="A29">
        <v>0.40760455402474</v>
      </c>
      <c r="B29">
        <v>5.4396241964689702</v>
      </c>
      <c r="C29">
        <v>1</v>
      </c>
      <c r="G29">
        <v>-1.7502899138543301E-2</v>
      </c>
      <c r="H29">
        <v>-1.9694730813901999</v>
      </c>
      <c r="I29">
        <v>1</v>
      </c>
      <c r="L29" s="3">
        <f t="shared" si="16"/>
        <v>9.5986251011847407E-2</v>
      </c>
      <c r="M29" s="3">
        <f t="shared" si="17"/>
        <v>21.477910338008545</v>
      </c>
      <c r="R29">
        <f t="shared" si="12"/>
        <v>0.22627999984808889</v>
      </c>
      <c r="S29">
        <f t="shared" si="13"/>
        <v>0.19977833231652961</v>
      </c>
      <c r="T29">
        <f t="shared" si="14"/>
        <v>0.36915157767368995</v>
      </c>
      <c r="U29">
        <f t="shared" si="15"/>
        <v>0.18308182235523132</v>
      </c>
      <c r="AC29">
        <f t="shared" si="10"/>
        <v>0.15933451705690882</v>
      </c>
      <c r="AD29">
        <f t="shared" si="3"/>
        <v>-1.8367494059589262</v>
      </c>
      <c r="AE29">
        <f t="shared" si="4"/>
        <v>1</v>
      </c>
      <c r="AF29">
        <f t="shared" si="5"/>
        <v>0</v>
      </c>
      <c r="AG29">
        <f t="shared" si="6"/>
        <v>0.36131030377572926</v>
      </c>
      <c r="AH29">
        <f t="shared" si="7"/>
        <v>0.51281748624749335</v>
      </c>
      <c r="AI29">
        <f t="shared" si="8"/>
        <v>3.8867280385740236E-3</v>
      </c>
      <c r="AJ29">
        <f t="shared" si="9"/>
        <v>1.7186672696556826E-2</v>
      </c>
    </row>
    <row r="30" spans="1:36" x14ac:dyDescent="0.25">
      <c r="A30">
        <v>0.24827229083240099</v>
      </c>
      <c r="B30">
        <v>-0.93890732262598497</v>
      </c>
      <c r="C30">
        <v>1</v>
      </c>
      <c r="G30">
        <v>-2.00164305996808E-3</v>
      </c>
      <c r="H30">
        <v>-1.1899060784395501</v>
      </c>
      <c r="I30">
        <v>1</v>
      </c>
      <c r="L30" s="3">
        <f t="shared" si="16"/>
        <v>0.22010054283351352</v>
      </c>
      <c r="M30" s="3">
        <f t="shared" si="17"/>
        <v>3.0419018080322764</v>
      </c>
      <c r="R30">
        <f t="shared" si="12"/>
        <v>0.22587419457776012</v>
      </c>
      <c r="S30">
        <f t="shared" si="13"/>
        <v>0.18974443743297545</v>
      </c>
      <c r="T30">
        <f t="shared" si="14"/>
        <v>0.34488113547469401</v>
      </c>
      <c r="U30">
        <f t="shared" si="15"/>
        <v>0.1305051158221282</v>
      </c>
      <c r="AC30">
        <f t="shared" si="10"/>
        <v>0.73264789782726825</v>
      </c>
      <c r="AD30">
        <f t="shared" si="3"/>
        <v>-0.31109005017503955</v>
      </c>
      <c r="AE30">
        <f t="shared" si="4"/>
        <v>1</v>
      </c>
      <c r="AF30">
        <f t="shared" si="5"/>
        <v>0</v>
      </c>
      <c r="AG30">
        <f t="shared" si="6"/>
        <v>0.36869089184956305</v>
      </c>
      <c r="AH30">
        <f t="shared" si="7"/>
        <v>0.45288901493517553</v>
      </c>
      <c r="AI30">
        <f t="shared" si="8"/>
        <v>0.12077360243580758</v>
      </c>
      <c r="AJ30">
        <f t="shared" si="9"/>
        <v>0.13419839908005007</v>
      </c>
    </row>
    <row r="31" spans="1:36" x14ac:dyDescent="0.25">
      <c r="A31">
        <v>0.38257585299804098</v>
      </c>
      <c r="B31">
        <v>-0.45233541666812699</v>
      </c>
      <c r="C31">
        <v>1</v>
      </c>
      <c r="G31">
        <v>0.207005618221727</v>
      </c>
      <c r="H31">
        <v>-0.93890732262598497</v>
      </c>
      <c r="I31">
        <v>1</v>
      </c>
      <c r="L31" s="3">
        <f t="shared" si="16"/>
        <v>0.11212129496743006</v>
      </c>
      <c r="M31" s="3">
        <f t="shared" si="17"/>
        <v>1.581389163204973</v>
      </c>
      <c r="R31">
        <f t="shared" si="12"/>
        <v>0.22210233060577703</v>
      </c>
      <c r="S31">
        <f t="shared" si="13"/>
        <v>0.18417204915120275</v>
      </c>
      <c r="T31">
        <f t="shared" si="14"/>
        <v>0.34272476244417666</v>
      </c>
      <c r="U31">
        <f t="shared" si="15"/>
        <v>0.12044302921192825</v>
      </c>
      <c r="AC31">
        <f t="shared" si="10"/>
        <v>0.77202230848799047</v>
      </c>
      <c r="AD31">
        <f t="shared" si="3"/>
        <v>-0.25874183236970227</v>
      </c>
      <c r="AE31">
        <f t="shared" si="4"/>
        <v>1</v>
      </c>
      <c r="AF31">
        <f t="shared" si="5"/>
        <v>0</v>
      </c>
      <c r="AG31">
        <f t="shared" si="6"/>
        <v>0.36298259737601912</v>
      </c>
      <c r="AH31">
        <f t="shared" si="7"/>
        <v>0.50459914415160756</v>
      </c>
      <c r="AI31">
        <f t="shared" si="8"/>
        <v>0.16949103152870146</v>
      </c>
      <c r="AJ31">
        <f t="shared" si="9"/>
        <v>0.15792692062611313</v>
      </c>
    </row>
    <row r="32" spans="1:36" x14ac:dyDescent="0.25">
      <c r="A32">
        <v>0.83239647367142</v>
      </c>
      <c r="B32">
        <v>0.45085664802004799</v>
      </c>
      <c r="C32">
        <v>1</v>
      </c>
      <c r="G32">
        <v>0.24244706600628599</v>
      </c>
      <c r="H32">
        <v>-0.59721296102740395</v>
      </c>
      <c r="I32">
        <v>1</v>
      </c>
      <c r="L32" s="3">
        <f t="shared" si="16"/>
        <v>1.3219351821308982E-2</v>
      </c>
      <c r="M32" s="3">
        <f t="shared" si="17"/>
        <v>0.12555747508304105</v>
      </c>
      <c r="R32">
        <f t="shared" si="12"/>
        <v>0.2219034698763106</v>
      </c>
      <c r="S32">
        <f t="shared" si="13"/>
        <v>0.17749601536828585</v>
      </c>
      <c r="T32">
        <f t="shared" si="14"/>
        <v>0.23862047601628278</v>
      </c>
      <c r="U32">
        <f t="shared" si="15"/>
        <v>0.11120897109870595</v>
      </c>
      <c r="AC32">
        <f t="shared" si="10"/>
        <v>0.72681535365156869</v>
      </c>
      <c r="AD32">
        <f t="shared" si="3"/>
        <v>-0.31908281768109231</v>
      </c>
      <c r="AE32">
        <f t="shared" si="4"/>
        <v>1</v>
      </c>
      <c r="AF32">
        <f t="shared" si="5"/>
        <v>0</v>
      </c>
      <c r="AG32">
        <f t="shared" si="6"/>
        <v>0.30779581552506485</v>
      </c>
      <c r="AH32">
        <f t="shared" si="7"/>
        <v>0.55712669821295346</v>
      </c>
      <c r="AI32">
        <f t="shared" si="8"/>
        <v>0.24437328658258101</v>
      </c>
      <c r="AJ32">
        <f t="shared" si="9"/>
        <v>0.18575408663117812</v>
      </c>
    </row>
    <row r="33" spans="1:36" x14ac:dyDescent="0.25">
      <c r="A33">
        <v>-2.00164305996808E-3</v>
      </c>
      <c r="B33">
        <v>-1.9694730813901999</v>
      </c>
      <c r="C33">
        <v>1</v>
      </c>
      <c r="G33">
        <v>0.24827229083240099</v>
      </c>
      <c r="H33">
        <v>-0.45233541666812699</v>
      </c>
      <c r="I33">
        <v>1</v>
      </c>
      <c r="L33" s="3">
        <f t="shared" si="16"/>
        <v>0.51756898768200399</v>
      </c>
      <c r="M33" s="3">
        <f t="shared" si="17"/>
        <v>7.6987971147906258</v>
      </c>
      <c r="R33">
        <f t="shared" si="12"/>
        <v>0.21134238030911626</v>
      </c>
      <c r="S33">
        <f t="shared" si="13"/>
        <v>0.1377397136569235</v>
      </c>
      <c r="T33">
        <f t="shared" si="14"/>
        <v>0.23158101092572844</v>
      </c>
      <c r="U33">
        <f t="shared" si="15"/>
        <v>4.1233153502026401E-2</v>
      </c>
      <c r="AC33">
        <f t="shared" si="10"/>
        <v>0.57589363292027484</v>
      </c>
      <c r="AD33">
        <f t="shared" si="3"/>
        <v>-0.55183230040790632</v>
      </c>
      <c r="AE33">
        <f t="shared" si="4"/>
        <v>1</v>
      </c>
      <c r="AF33">
        <f t="shared" si="5"/>
        <v>0</v>
      </c>
      <c r="AG33">
        <f t="shared" si="6"/>
        <v>0.36422362907969241</v>
      </c>
      <c r="AH33">
        <f t="shared" si="7"/>
        <v>0.33623102137955163</v>
      </c>
      <c r="AI33">
        <f t="shared" si="8"/>
        <v>4.2452347075237359E-2</v>
      </c>
      <c r="AJ33">
        <f t="shared" si="9"/>
        <v>7.9852729686065591E-2</v>
      </c>
    </row>
    <row r="34" spans="1:36" x14ac:dyDescent="0.25">
      <c r="A34">
        <v>-0.79186552518030695</v>
      </c>
      <c r="B34">
        <v>2.8081933180258498</v>
      </c>
      <c r="C34">
        <v>1</v>
      </c>
      <c r="G34">
        <v>0.36553955878771899</v>
      </c>
      <c r="H34">
        <v>-0.239998656120506</v>
      </c>
      <c r="I34">
        <v>1</v>
      </c>
      <c r="L34" s="3">
        <f t="shared" si="16"/>
        <v>2.2779459164926861</v>
      </c>
      <c r="M34" s="3">
        <f t="shared" si="17"/>
        <v>4.0119920452197597</v>
      </c>
      <c r="R34">
        <f t="shared" si="12"/>
        <v>0.1275564028306034</v>
      </c>
      <c r="S34">
        <f t="shared" si="13"/>
        <v>8.0609967127606805E-2</v>
      </c>
      <c r="T34">
        <f t="shared" si="14"/>
        <v>0.13762107140899277</v>
      </c>
      <c r="U34">
        <f t="shared" si="15"/>
        <v>2.7216288028489116E-2</v>
      </c>
      <c r="AC34">
        <f t="shared" si="10"/>
        <v>4.4953055103138411</v>
      </c>
      <c r="AD34">
        <f t="shared" si="3"/>
        <v>1.5030336323133606</v>
      </c>
      <c r="AE34">
        <f t="shared" si="4"/>
        <v>-1</v>
      </c>
      <c r="AF34">
        <f t="shared" si="5"/>
        <v>-2</v>
      </c>
      <c r="AG34">
        <f t="shared" si="6"/>
        <v>0.24642061819963446</v>
      </c>
      <c r="AH34">
        <f t="shared" si="7"/>
        <v>5.7695074495712872E-2</v>
      </c>
      <c r="AI34">
        <f t="shared" si="8"/>
        <v>0.12676593908942538</v>
      </c>
      <c r="AJ34">
        <f t="shared" si="9"/>
        <v>0.12044302921192825</v>
      </c>
    </row>
    <row r="35" spans="1:36" x14ac:dyDescent="0.25">
      <c r="A35">
        <v>1.4234410103911701</v>
      </c>
      <c r="B35">
        <v>0.69251800392943197</v>
      </c>
      <c r="C35">
        <v>1</v>
      </c>
      <c r="G35">
        <v>0.38257585299804098</v>
      </c>
      <c r="H35">
        <v>-4.78324756525123E-2</v>
      </c>
      <c r="I35">
        <v>1</v>
      </c>
      <c r="L35" s="3">
        <f t="shared" si="16"/>
        <v>0.49846420763859606</v>
      </c>
      <c r="M35" s="3">
        <f t="shared" si="17"/>
        <v>1.2696680187598498E-2</v>
      </c>
      <c r="R35">
        <f t="shared" si="12"/>
        <v>6.1977999293798519E-2</v>
      </c>
      <c r="S35">
        <f t="shared" si="13"/>
        <v>5.9861923182873145E-2</v>
      </c>
      <c r="T35">
        <f t="shared" si="14"/>
        <v>0.13322228759430421</v>
      </c>
      <c r="U35">
        <f t="shared" si="15"/>
        <v>1.7186672696556826E-2</v>
      </c>
      <c r="AC35">
        <f t="shared" si="10"/>
        <v>0.75098709136938502</v>
      </c>
      <c r="AD35">
        <f t="shared" si="3"/>
        <v>-0.28636681595509528</v>
      </c>
      <c r="AE35">
        <f t="shared" si="4"/>
        <v>1</v>
      </c>
      <c r="AF35">
        <f t="shared" si="5"/>
        <v>0</v>
      </c>
      <c r="AG35">
        <f t="shared" si="6"/>
        <v>0.19036997841490266</v>
      </c>
      <c r="AH35">
        <f t="shared" si="7"/>
        <v>0.34272476244417666</v>
      </c>
      <c r="AI35">
        <f t="shared" si="8"/>
        <v>0.25432080061714446</v>
      </c>
      <c r="AJ35">
        <f t="shared" si="9"/>
        <v>0.18810588661858171</v>
      </c>
    </row>
    <row r="36" spans="1:36" x14ac:dyDescent="0.25">
      <c r="A36">
        <v>0.207005618221727</v>
      </c>
      <c r="B36">
        <v>4.7035614193201701E-2</v>
      </c>
      <c r="C36">
        <v>1</v>
      </c>
      <c r="G36">
        <v>0.38333056219066602</v>
      </c>
      <c r="H36">
        <v>-4.6625697612428997E-2</v>
      </c>
      <c r="I36">
        <v>1</v>
      </c>
      <c r="L36" s="3">
        <f t="shared" si="16"/>
        <v>0.26052389624826228</v>
      </c>
      <c r="M36" s="3">
        <f t="shared" si="17"/>
        <v>0.57480952147775632</v>
      </c>
      <c r="AC36">
        <f t="shared" si="10"/>
        <v>1.0403015571173284</v>
      </c>
      <c r="AD36">
        <f t="shared" si="3"/>
        <v>3.9510629890024483E-2</v>
      </c>
      <c r="AE36">
        <f t="shared" si="4"/>
        <v>1</v>
      </c>
      <c r="AF36">
        <f t="shared" si="5"/>
        <v>0</v>
      </c>
      <c r="AG36">
        <f t="shared" si="6"/>
        <v>0.36931377238622326</v>
      </c>
      <c r="AH36">
        <f t="shared" si="7"/>
        <v>0.43492433832260391</v>
      </c>
      <c r="AI36">
        <f t="shared" si="8"/>
        <v>0.21645412976858541</v>
      </c>
      <c r="AJ36">
        <f t="shared" si="9"/>
        <v>0.17668041872347989</v>
      </c>
    </row>
    <row r="37" spans="1:36" x14ac:dyDescent="0.25">
      <c r="A37">
        <v>0.61833845106108098</v>
      </c>
      <c r="B37">
        <v>1.3094054381525599</v>
      </c>
      <c r="C37">
        <v>1</v>
      </c>
      <c r="G37">
        <v>0.40760455402474</v>
      </c>
      <c r="H37">
        <v>4.7035614193201701E-2</v>
      </c>
      <c r="I37">
        <v>1</v>
      </c>
      <c r="L37" s="3">
        <f t="shared" si="16"/>
        <v>9.8173581611233317E-3</v>
      </c>
      <c r="M37" s="3">
        <f t="shared" si="17"/>
        <v>0.25422559409523099</v>
      </c>
      <c r="R37" s="9" t="s">
        <v>22</v>
      </c>
      <c r="S37" s="9"/>
      <c r="T37" s="9" t="s">
        <v>23</v>
      </c>
      <c r="U37" s="9"/>
      <c r="AC37">
        <f t="shared" si="10"/>
        <v>0.83752103417259627</v>
      </c>
      <c r="AD37">
        <f t="shared" si="3"/>
        <v>-0.177308900168337</v>
      </c>
      <c r="AE37">
        <f t="shared" si="4"/>
        <v>1</v>
      </c>
      <c r="AF37">
        <f t="shared" si="5"/>
        <v>0</v>
      </c>
      <c r="AG37">
        <f t="shared" si="6"/>
        <v>0.34020729532921018</v>
      </c>
      <c r="AH37">
        <f t="shared" si="7"/>
        <v>0.55902769783360295</v>
      </c>
      <c r="AI37">
        <f t="shared" si="8"/>
        <v>0.25199649679342068</v>
      </c>
      <c r="AJ37">
        <f t="shared" si="9"/>
        <v>0.18310874093253135</v>
      </c>
    </row>
    <row r="38" spans="1:36" x14ac:dyDescent="0.25">
      <c r="A38">
        <v>1.2399751626336599</v>
      </c>
      <c r="B38">
        <v>1.31071157636819</v>
      </c>
      <c r="C38">
        <v>1</v>
      </c>
      <c r="G38">
        <v>0.41343414853174998</v>
      </c>
      <c r="H38">
        <v>0.45085664802004799</v>
      </c>
      <c r="I38">
        <v>1</v>
      </c>
      <c r="L38" s="3">
        <f t="shared" si="16"/>
        <v>0.27306281777781821</v>
      </c>
      <c r="M38" s="3">
        <f t="shared" si="17"/>
        <v>0.25554443047396125</v>
      </c>
      <c r="S38">
        <f>R11*S11*$R$2</f>
        <v>5.4651129639752887E-4</v>
      </c>
      <c r="U38" s="4">
        <f>T11*U11*$S$2</f>
        <v>1.5581180926295438E-3</v>
      </c>
      <c r="AC38">
        <f t="shared" si="10"/>
        <v>0.73113909117762066</v>
      </c>
      <c r="AD38">
        <f t="shared" si="3"/>
        <v>-0.31315156212360673</v>
      </c>
      <c r="AE38">
        <f t="shared" si="4"/>
        <v>1</v>
      </c>
      <c r="AF38">
        <f t="shared" si="5"/>
        <v>0</v>
      </c>
      <c r="AG38">
        <f t="shared" si="6"/>
        <v>0.2281885523681256</v>
      </c>
      <c r="AH38">
        <f t="shared" si="7"/>
        <v>0.42949802148639638</v>
      </c>
      <c r="AI38">
        <f t="shared" si="8"/>
        <v>0.2519489458333638</v>
      </c>
      <c r="AJ38">
        <f t="shared" si="9"/>
        <v>0.18308182235523132</v>
      </c>
    </row>
    <row r="39" spans="1:36" x14ac:dyDescent="0.25">
      <c r="A39">
        <v>0.450204108111117</v>
      </c>
      <c r="B39">
        <v>-4.6625697612428997E-2</v>
      </c>
      <c r="C39">
        <v>1</v>
      </c>
      <c r="G39">
        <v>0.450204108111117</v>
      </c>
      <c r="H39">
        <v>0.56538903332971202</v>
      </c>
      <c r="I39">
        <v>1</v>
      </c>
      <c r="L39" s="3">
        <f t="shared" si="16"/>
        <v>7.1404885263798165E-2</v>
      </c>
      <c r="M39" s="3">
        <f t="shared" si="17"/>
        <v>0.72560284581502477</v>
      </c>
      <c r="S39">
        <f t="shared" ref="S39:S62" si="18">R12*S12*$R$2</f>
        <v>1.853004612596774E-3</v>
      </c>
      <c r="U39" s="4">
        <f t="shared" ref="U39:U62" si="19">T12*U12*$S$2</f>
        <v>8.3375101656644017E-3</v>
      </c>
      <c r="AC39">
        <f t="shared" si="10"/>
        <v>0.81713506473056241</v>
      </c>
      <c r="AD39">
        <f t="shared" si="3"/>
        <v>-0.20195087987796848</v>
      </c>
      <c r="AE39">
        <f t="shared" si="4"/>
        <v>1</v>
      </c>
      <c r="AF39">
        <f t="shared" si="5"/>
        <v>0</v>
      </c>
      <c r="AG39">
        <f t="shared" si="6"/>
        <v>0.35803917674517155</v>
      </c>
      <c r="AH39">
        <f t="shared" si="7"/>
        <v>0.52559596236077955</v>
      </c>
      <c r="AI39">
        <f t="shared" si="8"/>
        <v>0.2084026675408176</v>
      </c>
      <c r="AJ39">
        <f t="shared" si="9"/>
        <v>0.17373525495210146</v>
      </c>
    </row>
    <row r="40" spans="1:36" x14ac:dyDescent="0.25">
      <c r="A40">
        <v>1.91832351730913</v>
      </c>
      <c r="B40">
        <v>0.56538903332971202</v>
      </c>
      <c r="C40">
        <v>1</v>
      </c>
      <c r="G40">
        <v>0.59211860915043302</v>
      </c>
      <c r="H40">
        <v>0.59583130667036299</v>
      </c>
      <c r="I40">
        <v>1</v>
      </c>
      <c r="L40" s="3">
        <f t="shared" si="16"/>
        <v>1.4421667753964327</v>
      </c>
      <c r="M40" s="3">
        <f t="shared" si="17"/>
        <v>5.7508124848353125E-2</v>
      </c>
      <c r="S40">
        <f t="shared" si="18"/>
        <v>9.0864586515435122E-3</v>
      </c>
      <c r="U40" s="4">
        <f t="shared" si="19"/>
        <v>1.3124846018000692E-2</v>
      </c>
      <c r="AC40">
        <f t="shared" si="10"/>
        <v>1.0129694618512972</v>
      </c>
      <c r="AD40">
        <f t="shared" si="3"/>
        <v>1.2886078564653604E-2</v>
      </c>
      <c r="AE40">
        <f t="shared" si="4"/>
        <v>1</v>
      </c>
      <c r="AF40">
        <f t="shared" si="5"/>
        <v>0</v>
      </c>
      <c r="AG40">
        <f t="shared" si="6"/>
        <v>0.1011146941674529</v>
      </c>
      <c r="AH40">
        <f t="shared" si="7"/>
        <v>0.13322228759430421</v>
      </c>
      <c r="AI40">
        <f t="shared" si="8"/>
        <v>0.24979967294074848</v>
      </c>
      <c r="AJ40">
        <f t="shared" si="9"/>
        <v>0.1871685597375933</v>
      </c>
    </row>
    <row r="41" spans="1:36" x14ac:dyDescent="0.25">
      <c r="A41">
        <v>1.36878833349333</v>
      </c>
      <c r="B41">
        <v>4.4967775486092796</v>
      </c>
      <c r="C41">
        <v>1</v>
      </c>
      <c r="G41">
        <v>0.61833845106108098</v>
      </c>
      <c r="H41">
        <v>0.69251800392943197</v>
      </c>
      <c r="I41">
        <v>1</v>
      </c>
      <c r="L41" s="3">
        <f t="shared" si="16"/>
        <v>0.42427935937991451</v>
      </c>
      <c r="M41" s="3">
        <f t="shared" si="17"/>
        <v>13.627762883349655</v>
      </c>
      <c r="S41">
        <f t="shared" si="18"/>
        <v>1.1186808798469589E-2</v>
      </c>
      <c r="U41" s="4">
        <f t="shared" si="19"/>
        <v>2.0319690025830991E-2</v>
      </c>
      <c r="AC41">
        <f t="shared" si="10"/>
        <v>0.25043709803714831</v>
      </c>
      <c r="AD41">
        <f t="shared" si="3"/>
        <v>-1.384547495629644</v>
      </c>
      <c r="AE41">
        <f t="shared" si="4"/>
        <v>1</v>
      </c>
      <c r="AF41">
        <f t="shared" si="5"/>
        <v>0</v>
      </c>
      <c r="AG41">
        <f t="shared" si="6"/>
        <v>0.20153568090014359</v>
      </c>
      <c r="AH41">
        <f t="shared" si="7"/>
        <v>0.36915157767368995</v>
      </c>
      <c r="AI41">
        <f t="shared" si="8"/>
        <v>1.8914636322073467E-2</v>
      </c>
      <c r="AJ41">
        <f t="shared" si="9"/>
        <v>4.1233153502026401E-2</v>
      </c>
    </row>
    <row r="42" spans="1:36" x14ac:dyDescent="0.25">
      <c r="A42">
        <v>-0.167210751400338</v>
      </c>
      <c r="B42">
        <v>-4.78324756525123E-2</v>
      </c>
      <c r="C42">
        <v>1</v>
      </c>
      <c r="G42">
        <v>0.83239647367142</v>
      </c>
      <c r="H42">
        <v>0.89742842736454398</v>
      </c>
      <c r="I42">
        <v>1</v>
      </c>
      <c r="L42" s="3">
        <f t="shared" si="16"/>
        <v>0.78257339501986367</v>
      </c>
      <c r="M42" s="3">
        <f t="shared" si="17"/>
        <v>0.7276602253076746</v>
      </c>
      <c r="S42">
        <f t="shared" si="18"/>
        <v>2.0451024506498688E-2</v>
      </c>
      <c r="U42" s="4">
        <f t="shared" si="19"/>
        <v>2.9183074961921757E-2</v>
      </c>
      <c r="AC42">
        <f t="shared" si="10"/>
        <v>1.6314859045297572</v>
      </c>
      <c r="AD42">
        <f t="shared" si="3"/>
        <v>0.48949119743669173</v>
      </c>
      <c r="AE42">
        <f t="shared" si="4"/>
        <v>1</v>
      </c>
      <c r="AF42">
        <f t="shared" si="5"/>
        <v>0</v>
      </c>
      <c r="AG42">
        <f t="shared" si="6"/>
        <v>0.35082592769527243</v>
      </c>
      <c r="AH42">
        <f t="shared" si="7"/>
        <v>0.25786995455179756</v>
      </c>
      <c r="AI42">
        <f t="shared" si="8"/>
        <v>0.20829590785149324</v>
      </c>
      <c r="AJ42">
        <f t="shared" si="9"/>
        <v>0.17369541336837999</v>
      </c>
    </row>
    <row r="43" spans="1:36" x14ac:dyDescent="0.25">
      <c r="A43">
        <v>-1.7502899138543301E-2</v>
      </c>
      <c r="B43">
        <v>-1.1899060784395501</v>
      </c>
      <c r="C43">
        <v>1</v>
      </c>
      <c r="G43">
        <v>1.19097019264139</v>
      </c>
      <c r="H43">
        <v>1.26240224222423</v>
      </c>
      <c r="I43">
        <v>1</v>
      </c>
      <c r="L43" s="3">
        <f t="shared" si="16"/>
        <v>0.5401131869010698</v>
      </c>
      <c r="M43" s="3">
        <f t="shared" si="17"/>
        <v>3.9804384897164149</v>
      </c>
      <c r="S43">
        <f t="shared" si="18"/>
        <v>2.6016575993505514E-2</v>
      </c>
      <c r="U43" s="4">
        <f t="shared" si="19"/>
        <v>3.4069785871281351E-2</v>
      </c>
      <c r="AC43">
        <f t="shared" si="10"/>
        <v>0.89191952407926023</v>
      </c>
      <c r="AD43">
        <f t="shared" si="3"/>
        <v>-0.11437937011424933</v>
      </c>
      <c r="AE43">
        <f t="shared" si="4"/>
        <v>1</v>
      </c>
      <c r="AF43">
        <f t="shared" si="5"/>
        <v>0</v>
      </c>
      <c r="AG43">
        <f t="shared" si="6"/>
        <v>0.36330640592603991</v>
      </c>
      <c r="AH43">
        <f t="shared" si="7"/>
        <v>0.32872629575970513</v>
      </c>
      <c r="AI43">
        <f t="shared" si="8"/>
        <v>9.7543055472475743E-2</v>
      </c>
      <c r="AJ43">
        <f t="shared" si="9"/>
        <v>0.12086743181791829</v>
      </c>
    </row>
    <row r="44" spans="1:36" x14ac:dyDescent="0.25">
      <c r="A44">
        <v>1.41899075467786</v>
      </c>
      <c r="B44">
        <v>-0.239998656120506</v>
      </c>
      <c r="C44">
        <v>1</v>
      </c>
      <c r="G44">
        <v>1.2399751626336599</v>
      </c>
      <c r="H44">
        <v>1.3094054381525599</v>
      </c>
      <c r="I44">
        <v>1</v>
      </c>
      <c r="L44" s="3">
        <f t="shared" si="16"/>
        <v>0.49220007354359241</v>
      </c>
      <c r="M44" s="3">
        <f t="shared" si="17"/>
        <v>1.0924351100764884</v>
      </c>
      <c r="S44">
        <f t="shared" si="18"/>
        <v>2.8039167721255288E-2</v>
      </c>
      <c r="U44" s="4">
        <f t="shared" si="19"/>
        <v>3.5761683757053013E-2</v>
      </c>
      <c r="AC44">
        <f t="shared" si="10"/>
        <v>0.63345986794357179</v>
      </c>
      <c r="AD44">
        <f t="shared" si="3"/>
        <v>-0.45655863096152649</v>
      </c>
      <c r="AE44">
        <f t="shared" si="4"/>
        <v>1</v>
      </c>
      <c r="AF44">
        <f t="shared" si="5"/>
        <v>0</v>
      </c>
      <c r="AG44">
        <f t="shared" si="6"/>
        <v>0.19127388888116875</v>
      </c>
      <c r="AH44">
        <f t="shared" si="7"/>
        <v>0.34488113547469401</v>
      </c>
      <c r="AI44">
        <f t="shared" si="8"/>
        <v>0.19048514098672778</v>
      </c>
      <c r="AJ44">
        <f t="shared" si="9"/>
        <v>0.16677396184552748</v>
      </c>
    </row>
    <row r="45" spans="1:36" x14ac:dyDescent="0.25">
      <c r="A45">
        <v>0.59211860915043302</v>
      </c>
      <c r="B45">
        <v>1.26240224222423</v>
      </c>
      <c r="C45">
        <v>1</v>
      </c>
      <c r="G45">
        <v>1.36878833349333</v>
      </c>
      <c r="H45">
        <v>1.31071157636819</v>
      </c>
      <c r="I45">
        <v>1</v>
      </c>
      <c r="L45" s="3">
        <f t="shared" si="16"/>
        <v>1.570069757109515E-2</v>
      </c>
      <c r="M45" s="3">
        <f t="shared" si="17"/>
        <v>0.20903613024724693</v>
      </c>
      <c r="S45">
        <f t="shared" si="18"/>
        <v>3.7621661654822142E-2</v>
      </c>
      <c r="U45" s="4">
        <f t="shared" si="19"/>
        <v>4.1586975333822454E-2</v>
      </c>
      <c r="AC45">
        <f t="shared" si="10"/>
        <v>0.85165119149485213</v>
      </c>
      <c r="AD45">
        <f t="shared" si="3"/>
        <v>-0.16057823563366899</v>
      </c>
      <c r="AE45">
        <f t="shared" si="4"/>
        <v>1</v>
      </c>
      <c r="AF45">
        <f t="shared" si="5"/>
        <v>0</v>
      </c>
      <c r="AG45">
        <f t="shared" si="6"/>
        <v>0.34347604626611183</v>
      </c>
      <c r="AH45">
        <f t="shared" si="7"/>
        <v>0.55574422561693215</v>
      </c>
      <c r="AI45">
        <f t="shared" si="8"/>
        <v>0.25359292212431467</v>
      </c>
      <c r="AJ45">
        <f t="shared" si="9"/>
        <v>0.18403349159637086</v>
      </c>
    </row>
    <row r="46" spans="1:36" x14ac:dyDescent="0.25">
      <c r="A46">
        <v>0.24244706600628599</v>
      </c>
      <c r="B46">
        <v>4.9710522070426801</v>
      </c>
      <c r="C46">
        <v>1</v>
      </c>
      <c r="G46">
        <v>1.41899075467786</v>
      </c>
      <c r="H46">
        <v>2.6196506272837401</v>
      </c>
      <c r="I46">
        <v>1</v>
      </c>
      <c r="L46" s="3">
        <f t="shared" si="16"/>
        <v>0.22560026988472351</v>
      </c>
      <c r="M46" s="3">
        <f t="shared" si="17"/>
        <v>17.354345020464283</v>
      </c>
      <c r="S46" s="4">
        <f t="shared" si="18"/>
        <v>4.4162237072877204E-2</v>
      </c>
      <c r="U46" s="5">
        <f t="shared" si="19"/>
        <v>4.3823278464372117E-2</v>
      </c>
      <c r="AC46">
        <f t="shared" si="10"/>
        <v>0.26898092912367089</v>
      </c>
      <c r="AD46">
        <f t="shared" si="3"/>
        <v>-1.3131147973445367</v>
      </c>
      <c r="AE46">
        <f t="shared" si="4"/>
        <v>1</v>
      </c>
      <c r="AF46">
        <f t="shared" si="5"/>
        <v>0</v>
      </c>
      <c r="AG46">
        <f t="shared" si="6"/>
        <v>0.36881139974215099</v>
      </c>
      <c r="AH46">
        <f t="shared" si="7"/>
        <v>0.45040191997951717</v>
      </c>
      <c r="AI46">
        <f t="shared" si="8"/>
        <v>8.9401803234494242E-3</v>
      </c>
      <c r="AJ46">
        <f t="shared" si="9"/>
        <v>2.7216288028489116E-2</v>
      </c>
    </row>
    <row r="47" spans="1:36" x14ac:dyDescent="0.25">
      <c r="A47">
        <v>0.36553955878771899</v>
      </c>
      <c r="B47">
        <v>-0.59721296102740395</v>
      </c>
      <c r="C47">
        <v>1</v>
      </c>
      <c r="G47">
        <v>1.4234410103911701</v>
      </c>
      <c r="H47">
        <v>2.8081933180258498</v>
      </c>
      <c r="I47">
        <v>1</v>
      </c>
      <c r="L47" s="3">
        <f t="shared" si="16"/>
        <v>0.12382057231088671</v>
      </c>
      <c r="M47" s="3">
        <f t="shared" si="17"/>
        <v>1.9667552424971741</v>
      </c>
      <c r="S47" s="4">
        <f t="shared" si="18"/>
        <v>4.62983030355167E-2</v>
      </c>
      <c r="U47" s="5">
        <f t="shared" si="19"/>
        <v>4.3855493700883021E-2</v>
      </c>
      <c r="AC47">
        <f t="shared" si="10"/>
        <v>0.74695003048095787</v>
      </c>
      <c r="AD47">
        <f t="shared" si="3"/>
        <v>-0.29175698968658503</v>
      </c>
      <c r="AE47">
        <f t="shared" si="4"/>
        <v>1</v>
      </c>
      <c r="AF47">
        <f t="shared" si="5"/>
        <v>0</v>
      </c>
      <c r="AG47">
        <f t="shared" si="6"/>
        <v>0.36401343818126164</v>
      </c>
      <c r="AH47">
        <f t="shared" si="7"/>
        <v>0.49872264079619244</v>
      </c>
      <c r="AI47">
        <f t="shared" si="8"/>
        <v>0.15482189674815175</v>
      </c>
      <c r="AJ47">
        <f t="shared" si="9"/>
        <v>0.15128614848191915</v>
      </c>
    </row>
    <row r="48" spans="1:36" x14ac:dyDescent="0.25">
      <c r="A48">
        <v>1.9047387069309401</v>
      </c>
      <c r="B48">
        <v>0.59583130667036299</v>
      </c>
      <c r="C48">
        <v>1</v>
      </c>
      <c r="G48">
        <v>1.6448127823949801</v>
      </c>
      <c r="H48">
        <v>2.9794859474761801</v>
      </c>
      <c r="I48">
        <v>1</v>
      </c>
      <c r="L48" s="3">
        <f t="shared" si="16"/>
        <v>1.4097232574214729</v>
      </c>
      <c r="M48" s="3">
        <f t="shared" si="17"/>
        <v>4.3834224003769053E-2</v>
      </c>
      <c r="S48" s="4">
        <f t="shared" si="18"/>
        <v>4.752080288191942E-2</v>
      </c>
      <c r="U48" s="5">
        <f t="shared" si="19"/>
        <v>4.530240409946476E-2</v>
      </c>
      <c r="AC48">
        <f t="shared" si="10"/>
        <v>1.0039686556750094</v>
      </c>
      <c r="AD48">
        <f t="shared" si="3"/>
        <v>3.9608013349985453E-3</v>
      </c>
      <c r="AE48">
        <f t="shared" si="4"/>
        <v>1</v>
      </c>
      <c r="AF48">
        <f t="shared" si="5"/>
        <v>0</v>
      </c>
      <c r="AG48">
        <f t="shared" si="6"/>
        <v>0.10317506405923796</v>
      </c>
      <c r="AH48">
        <f t="shared" si="7"/>
        <v>0.13762107140899277</v>
      </c>
      <c r="AI48">
        <f t="shared" si="8"/>
        <v>0.25102977930478659</v>
      </c>
      <c r="AJ48">
        <f t="shared" si="9"/>
        <v>0.18745408227972066</v>
      </c>
    </row>
    <row r="49" spans="1:36" x14ac:dyDescent="0.25">
      <c r="A49">
        <v>0.41343414853174998</v>
      </c>
      <c r="B49">
        <v>2.9794859474761801</v>
      </c>
      <c r="C49">
        <v>1</v>
      </c>
      <c r="G49">
        <v>1.66079890453533</v>
      </c>
      <c r="H49">
        <v>4.4967775486092796</v>
      </c>
      <c r="I49">
        <v>1</v>
      </c>
      <c r="L49" s="3">
        <f t="shared" si="16"/>
        <v>9.2408026289023157E-2</v>
      </c>
      <c r="M49" s="3">
        <f t="shared" si="17"/>
        <v>4.7275300337607238</v>
      </c>
      <c r="S49">
        <f t="shared" si="18"/>
        <v>4.7639435809270131E-2</v>
      </c>
      <c r="U49" s="4">
        <f t="shared" si="19"/>
        <v>4.7799922911563035E-2</v>
      </c>
      <c r="AC49">
        <f t="shared" si="10"/>
        <v>0.69594560991096344</v>
      </c>
      <c r="AD49">
        <f t="shared" si="3"/>
        <v>-0.36248376838097851</v>
      </c>
      <c r="AE49">
        <f t="shared" si="4"/>
        <v>1</v>
      </c>
      <c r="AF49">
        <f t="shared" si="5"/>
        <v>0</v>
      </c>
      <c r="AG49">
        <f t="shared" si="6"/>
        <v>0.36089406985126998</v>
      </c>
      <c r="AH49">
        <f t="shared" si="7"/>
        <v>0.51465810285478797</v>
      </c>
      <c r="AI49">
        <f t="shared" si="8"/>
        <v>0.11037080018923633</v>
      </c>
      <c r="AJ49">
        <f t="shared" si="9"/>
        <v>0.11120897109870595</v>
      </c>
    </row>
    <row r="50" spans="1:36" x14ac:dyDescent="0.25">
      <c r="A50">
        <v>0.38333056219066602</v>
      </c>
      <c r="B50">
        <v>-2.5423433104640001</v>
      </c>
      <c r="C50">
        <v>1</v>
      </c>
      <c r="G50">
        <v>1.9047387069309401</v>
      </c>
      <c r="H50">
        <v>4.9710522070426801</v>
      </c>
      <c r="I50">
        <v>1</v>
      </c>
      <c r="L50" s="3">
        <f t="shared" si="16"/>
        <v>0.11161644308159362</v>
      </c>
      <c r="M50" s="3">
        <f t="shared" si="17"/>
        <v>11.20602981499918</v>
      </c>
      <c r="S50">
        <f t="shared" si="18"/>
        <v>4.7655295623286402E-2</v>
      </c>
      <c r="U50" s="4">
        <f t="shared" si="19"/>
        <v>4.9187519639480703E-2</v>
      </c>
      <c r="AC50">
        <f t="shared" si="10"/>
        <v>0.26063491670254207</v>
      </c>
      <c r="AD50">
        <f t="shared" si="3"/>
        <v>-1.3446346374549394</v>
      </c>
      <c r="AE50">
        <f t="shared" si="4"/>
        <v>1</v>
      </c>
      <c r="AF50">
        <f t="shared" si="5"/>
        <v>0</v>
      </c>
      <c r="AG50">
        <f t="shared" si="6"/>
        <v>0.36293490922153943</v>
      </c>
      <c r="AH50">
        <f t="shared" si="7"/>
        <v>0.504854282027835</v>
      </c>
      <c r="AI50">
        <f t="shared" si="8"/>
        <v>1.9582201968153551E-2</v>
      </c>
      <c r="AJ50">
        <f t="shared" si="9"/>
        <v>5.4012170232844485E-2</v>
      </c>
    </row>
    <row r="51" spans="1:36" x14ac:dyDescent="0.25">
      <c r="A51">
        <v>1.19097019264139</v>
      </c>
      <c r="B51">
        <v>-2.2917883757367199</v>
      </c>
      <c r="C51">
        <v>1</v>
      </c>
      <c r="G51">
        <v>1.91832351730913</v>
      </c>
      <c r="H51">
        <v>5.4396241964689702</v>
      </c>
      <c r="I51">
        <v>1</v>
      </c>
      <c r="L51" s="3">
        <f t="shared" si="16"/>
        <v>0.22424880603577774</v>
      </c>
      <c r="M51" s="3">
        <f t="shared" si="17"/>
        <v>9.5913218265455988</v>
      </c>
      <c r="S51">
        <f t="shared" si="18"/>
        <v>4.7592882853620365E-2</v>
      </c>
      <c r="U51" s="4">
        <f t="shared" si="19"/>
        <v>5.2088261897638023E-2</v>
      </c>
      <c r="AC51">
        <f t="shared" si="10"/>
        <v>0.2283107815573624</v>
      </c>
      <c r="AD51">
        <f t="shared" si="3"/>
        <v>-1.4770475011678557</v>
      </c>
      <c r="AE51">
        <f t="shared" si="4"/>
        <v>1</v>
      </c>
      <c r="AF51">
        <f t="shared" si="5"/>
        <v>0</v>
      </c>
      <c r="AG51">
        <f t="shared" si="6"/>
        <v>0.23833762269698103</v>
      </c>
      <c r="AH51">
        <f t="shared" si="7"/>
        <v>0.45101181236716609</v>
      </c>
      <c r="AI51">
        <f t="shared" si="8"/>
        <v>2.7937488552861236E-2</v>
      </c>
      <c r="AJ51">
        <f t="shared" si="9"/>
        <v>6.4664456005786214E-2</v>
      </c>
    </row>
    <row r="52" spans="1:36" x14ac:dyDescent="0.25">
      <c r="S52">
        <f t="shared" si="18"/>
        <v>4.4275479832374245E-2</v>
      </c>
      <c r="U52" s="4">
        <f t="shared" si="19"/>
        <v>5.2578200372667236E-2</v>
      </c>
      <c r="AF52">
        <f>-SUM(AF30:AF51)/2</f>
        <v>1</v>
      </c>
    </row>
    <row r="53" spans="1:36" x14ac:dyDescent="0.25">
      <c r="S53">
        <f t="shared" si="18"/>
        <v>4.1361912026908434E-2</v>
      </c>
      <c r="U53" s="4">
        <f t="shared" si="19"/>
        <v>5.2423887427188585E-2</v>
      </c>
      <c r="AF53">
        <f>SUM(AF2:AF28)/2</f>
        <v>18</v>
      </c>
    </row>
    <row r="54" spans="1:36" x14ac:dyDescent="0.25">
      <c r="S54">
        <f t="shared" si="18"/>
        <v>3.9951151739698779E-2</v>
      </c>
      <c r="U54" s="4">
        <f t="shared" si="19"/>
        <v>4.1500639290568429E-2</v>
      </c>
      <c r="AF54">
        <f>AF53+AF52</f>
        <v>19</v>
      </c>
    </row>
    <row r="55" spans="1:36" x14ac:dyDescent="0.25">
      <c r="S55">
        <f t="shared" si="18"/>
        <v>2.9091765279791761E-2</v>
      </c>
      <c r="U55" s="4">
        <f t="shared" si="19"/>
        <v>3.9322420973693671E-2</v>
      </c>
      <c r="AF55">
        <f>AF54/50</f>
        <v>0.38</v>
      </c>
    </row>
    <row r="56" spans="1:36" x14ac:dyDescent="0.25">
      <c r="S56">
        <f t="shared" si="18"/>
        <v>2.2602920503117886E-2</v>
      </c>
      <c r="U56" s="4">
        <f t="shared" si="19"/>
        <v>3.3792471782903941E-2</v>
      </c>
    </row>
    <row r="57" spans="1:36" x14ac:dyDescent="0.25">
      <c r="S57">
        <f t="shared" si="18"/>
        <v>2.1429185990391765E-2</v>
      </c>
      <c r="U57" s="4">
        <f t="shared" si="19"/>
        <v>2.2504376264996014E-2</v>
      </c>
    </row>
    <row r="58" spans="1:36" x14ac:dyDescent="0.25">
      <c r="S58">
        <f t="shared" si="18"/>
        <v>2.0452520674461926E-2</v>
      </c>
      <c r="U58" s="4">
        <f t="shared" si="19"/>
        <v>2.0639404287357568E-2</v>
      </c>
    </row>
    <row r="59" spans="1:36" x14ac:dyDescent="0.25">
      <c r="S59" s="4">
        <f t="shared" si="18"/>
        <v>1.9693490849720791E-2</v>
      </c>
      <c r="U59" s="5">
        <f t="shared" si="19"/>
        <v>1.3268368810427124E-2</v>
      </c>
    </row>
    <row r="60" spans="1:36" x14ac:dyDescent="0.25">
      <c r="S60" s="4">
        <f t="shared" si="18"/>
        <v>1.4555119473675151E-2</v>
      </c>
      <c r="U60" s="5">
        <f t="shared" si="19"/>
        <v>4.7744076858275072E-3</v>
      </c>
    </row>
    <row r="61" spans="1:36" x14ac:dyDescent="0.25">
      <c r="S61" s="4">
        <f t="shared" si="18"/>
        <v>5.1411587195453563E-3</v>
      </c>
      <c r="U61" s="5">
        <f t="shared" si="19"/>
        <v>1.8727673591282079E-3</v>
      </c>
    </row>
    <row r="62" spans="1:36" x14ac:dyDescent="0.25">
      <c r="A62">
        <v>-1.39685137912344</v>
      </c>
      <c r="B62">
        <v>0.67790445736734695</v>
      </c>
      <c r="D62">
        <v>1.66079890453533</v>
      </c>
      <c r="E62">
        <v>2.6196506272837401</v>
      </c>
      <c r="S62" s="4">
        <f t="shared" si="18"/>
        <v>1.8550611163767664E-3</v>
      </c>
      <c r="U62" s="5">
        <f t="shared" si="19"/>
        <v>1.1448239263849346E-3</v>
      </c>
    </row>
    <row r="63" spans="1:36" x14ac:dyDescent="0.25">
      <c r="A63">
        <v>-1.49138512774315</v>
      </c>
      <c r="B63">
        <v>1.62568721833194</v>
      </c>
      <c r="D63">
        <v>1.6448127823949801</v>
      </c>
      <c r="E63">
        <v>0.89742842736454398</v>
      </c>
    </row>
    <row r="64" spans="1:36" x14ac:dyDescent="0.25">
      <c r="A64">
        <v>-0.89163842610709598</v>
      </c>
      <c r="B64">
        <v>3.60641250937352</v>
      </c>
      <c r="D64">
        <v>0.40760455402474</v>
      </c>
      <c r="E64">
        <v>5.4396241964689702</v>
      </c>
    </row>
    <row r="65" spans="1:5" x14ac:dyDescent="0.25">
      <c r="A65">
        <v>1.32123115190245</v>
      </c>
      <c r="B65">
        <v>-2.7834040882272699</v>
      </c>
      <c r="D65">
        <v>0.24827229083240099</v>
      </c>
      <c r="E65">
        <v>-0.93890732262598497</v>
      </c>
    </row>
    <row r="66" spans="1:5" x14ac:dyDescent="0.25">
      <c r="A66">
        <v>0.15482623664997999</v>
      </c>
      <c r="B66">
        <v>-2.1622137053169701</v>
      </c>
      <c r="D66">
        <v>0.38257585299804098</v>
      </c>
      <c r="E66">
        <v>-0.45233541666812699</v>
      </c>
    </row>
    <row r="67" spans="1:5" x14ac:dyDescent="0.25">
      <c r="A67">
        <v>1.75479716503808</v>
      </c>
      <c r="B67">
        <v>2.0726806747798099</v>
      </c>
      <c r="D67">
        <v>0.83239647367142</v>
      </c>
      <c r="E67">
        <v>0.45085664802004799</v>
      </c>
    </row>
    <row r="68" spans="1:5" x14ac:dyDescent="0.25">
      <c r="A68">
        <v>0.52661590163930705</v>
      </c>
      <c r="B68">
        <v>-0.38886586504166798</v>
      </c>
      <c r="D68">
        <v>-2.00164305996808E-3</v>
      </c>
      <c r="E68">
        <v>-1.9694730813901999</v>
      </c>
    </row>
    <row r="69" spans="1:5" x14ac:dyDescent="0.25">
      <c r="A69">
        <v>-1.7048601925509801</v>
      </c>
      <c r="B69">
        <v>3.3223978668187901</v>
      </c>
      <c r="D69">
        <v>-0.79186552518030695</v>
      </c>
      <c r="E69">
        <v>2.8081933180258498</v>
      </c>
    </row>
    <row r="70" spans="1:5" x14ac:dyDescent="0.25">
      <c r="A70">
        <v>1.2491751498100201</v>
      </c>
      <c r="B70">
        <v>-0.26461010310528199</v>
      </c>
      <c r="D70">
        <v>1.4234410103911701</v>
      </c>
      <c r="E70">
        <v>0.69251800392943197</v>
      </c>
    </row>
    <row r="71" spans="1:5" x14ac:dyDescent="0.25">
      <c r="A71">
        <v>0.11870196837399501</v>
      </c>
      <c r="B71">
        <v>1.8943195420265599</v>
      </c>
      <c r="D71">
        <v>0.207005618221727</v>
      </c>
      <c r="E71">
        <v>4.7035614193201701E-2</v>
      </c>
    </row>
    <row r="72" spans="1:5" x14ac:dyDescent="0.25">
      <c r="A72">
        <v>-0.194356712835666</v>
      </c>
      <c r="B72">
        <v>0.237272076509562</v>
      </c>
      <c r="D72">
        <v>0.61833845106108098</v>
      </c>
      <c r="E72">
        <v>1.3094054381525599</v>
      </c>
    </row>
    <row r="73" spans="1:5" x14ac:dyDescent="0.25">
      <c r="A73">
        <v>1.2511310476748601</v>
      </c>
      <c r="B73">
        <v>0.86951696981086601</v>
      </c>
      <c r="D73">
        <v>1.2399751626336599</v>
      </c>
      <c r="E73">
        <v>1.31071157636819</v>
      </c>
    </row>
    <row r="74" spans="1:5" x14ac:dyDescent="0.25">
      <c r="A74">
        <v>-0.62316147847983105</v>
      </c>
      <c r="B74">
        <v>0.88896760764255001</v>
      </c>
      <c r="D74">
        <v>0.450204108111117</v>
      </c>
      <c r="E74">
        <v>-4.6625697612428997E-2</v>
      </c>
    </row>
    <row r="75" spans="1:5" x14ac:dyDescent="0.25">
      <c r="A75">
        <v>2.2204265518614199</v>
      </c>
      <c r="B75">
        <v>0.97010164258990395</v>
      </c>
      <c r="D75">
        <v>1.91832351730913</v>
      </c>
      <c r="E75">
        <v>0.56538903332971202</v>
      </c>
    </row>
    <row r="76" spans="1:5" x14ac:dyDescent="0.25">
      <c r="A76">
        <v>-7.6693614386577097E-2</v>
      </c>
      <c r="B76">
        <v>-0.335654402615848</v>
      </c>
      <c r="D76">
        <v>1.36878833349333</v>
      </c>
      <c r="E76">
        <v>4.4967775486092796</v>
      </c>
    </row>
    <row r="77" spans="1:5" x14ac:dyDescent="0.25">
      <c r="A77">
        <v>-1.4140693136420801</v>
      </c>
      <c r="B77">
        <v>2.6974073369451199</v>
      </c>
      <c r="D77">
        <v>-0.167210751400338</v>
      </c>
      <c r="E77">
        <v>-4.78324756525123E-2</v>
      </c>
    </row>
    <row r="78" spans="1:5" x14ac:dyDescent="0.25">
      <c r="A78">
        <v>-0.363293877407948</v>
      </c>
      <c r="B78">
        <v>2.3033852530773302</v>
      </c>
      <c r="D78">
        <v>-1.7502899138543301E-2</v>
      </c>
      <c r="E78">
        <v>-1.1899060784395501</v>
      </c>
    </row>
    <row r="79" spans="1:5" x14ac:dyDescent="0.25">
      <c r="A79">
        <v>1.27026809162857</v>
      </c>
      <c r="B79">
        <v>2.2358629041015701</v>
      </c>
      <c r="D79">
        <v>1.41899075467786</v>
      </c>
      <c r="E79">
        <v>-0.239998656120506</v>
      </c>
    </row>
    <row r="80" spans="1:5" x14ac:dyDescent="0.25">
      <c r="A80">
        <v>0.33086589114599002</v>
      </c>
      <c r="B80">
        <v>1.07065245753176</v>
      </c>
      <c r="D80">
        <v>0.59211860915043302</v>
      </c>
      <c r="E80">
        <v>1.26240224222423</v>
      </c>
    </row>
    <row r="81" spans="1:5" x14ac:dyDescent="0.25">
      <c r="A81">
        <v>1.2693096197859599</v>
      </c>
      <c r="B81">
        <v>-0.68210353573308702</v>
      </c>
      <c r="D81">
        <v>0.24244706600628599</v>
      </c>
      <c r="E81">
        <v>4.9710522070426801</v>
      </c>
    </row>
    <row r="82" spans="1:5" x14ac:dyDescent="0.25">
      <c r="A82">
        <v>0.56044933151451404</v>
      </c>
      <c r="B82">
        <v>-0.137711389082292</v>
      </c>
      <c r="D82">
        <v>0.36553955878771899</v>
      </c>
      <c r="E82">
        <v>-0.59721296102740395</v>
      </c>
    </row>
    <row r="83" spans="1:5" x14ac:dyDescent="0.25">
      <c r="A83">
        <v>9.79969643381257E-2</v>
      </c>
      <c r="B83">
        <v>1.7078319468522101</v>
      </c>
      <c r="D83">
        <v>1.9047387069309401</v>
      </c>
      <c r="E83">
        <v>0.59583130667036299</v>
      </c>
    </row>
    <row r="84" spans="1:5" x14ac:dyDescent="0.25">
      <c r="A84">
        <v>0.13484868272473599</v>
      </c>
      <c r="B84">
        <v>1.5226099066118901</v>
      </c>
      <c r="D84">
        <v>0.41343414853174998</v>
      </c>
      <c r="E84">
        <v>2.9794859474761801</v>
      </c>
    </row>
    <row r="85" spans="1:5" x14ac:dyDescent="0.25">
      <c r="A85">
        <v>1.035633516623</v>
      </c>
      <c r="B85">
        <v>1.0095662243699299</v>
      </c>
      <c r="D85">
        <v>0.38333056219066602</v>
      </c>
      <c r="E85">
        <v>-2.5423433104640001</v>
      </c>
    </row>
    <row r="86" spans="1:5" x14ac:dyDescent="0.25">
      <c r="A86">
        <v>-0.64153222416655697</v>
      </c>
      <c r="B86">
        <v>2.1786126808464501</v>
      </c>
      <c r="D86">
        <v>1.19097019264139</v>
      </c>
      <c r="E86">
        <v>-2.2917883757367199</v>
      </c>
    </row>
  </sheetData>
  <sortState ref="H27:H51">
    <sortCondition ref="H27"/>
  </sortState>
  <mergeCells count="2">
    <mergeCell ref="R37:S37"/>
    <mergeCell ref="T37:U37"/>
  </mergeCells>
  <pageMargins left="0.7" right="0.7" top="0.75" bottom="0.75" header="0.3" footer="0.3"/>
  <pageSetup paperSize="9" orientation="portrait" verticalDpi="0" r:id="rId1"/>
  <ignoredErrors>
    <ignoredError sqref="R5:U5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task1</vt:lpstr>
      <vt:lpstr>task2</vt:lpstr>
      <vt:lpstr>task2!task2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2021-10-22T09:27:23Z</dcterms:modified>
</cp:coreProperties>
</file>